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5">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0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22" fillId="7" borderId="0" applyAlignment="1" pivotButton="0" quotePrefix="0" xfId="0">
      <alignment horizontal="left" vertical="center"/>
    </xf>
    <xf numFmtId="0" fontId="23" fillId="5" borderId="0" applyAlignment="1" pivotButton="0" quotePrefix="0" xfId="0">
      <alignment horizontal="left" vertical="top" wrapText="1"/>
    </xf>
    <xf numFmtId="0" fontId="23"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24"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10:33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Q1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10:33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row>
    <row r="9" ht="20" customHeight="1">
      <c r="A9" s="36" t="inlineStr">
        <is>
          <t>PORTFOLIO TOTALS</t>
        </is>
      </c>
      <c r="H9" s="37">
        <f>SUM(H5:H7)</f>
        <v/>
      </c>
      <c r="I9" s="37">
        <f>SUM(I5:I7)</f>
        <v/>
      </c>
      <c r="J9" s="37">
        <f>SUM(J5:J7)</f>
        <v/>
      </c>
      <c r="K9" s="38">
        <f>IFERROR(J9/H9,"")</f>
        <v/>
      </c>
    </row>
    <row r="11" ht="22" customHeight="1">
      <c r="A11" s="39" t="inlineStr">
        <is>
          <t>📌  INVESTMENT THESIS &amp; RESEARCH NOTES</t>
        </is>
      </c>
    </row>
    <row r="12" ht="20" customHeight="1">
      <c r="A12" s="40" t="inlineStr">
        <is>
          <t xml:space="preserve">  IONQ  —  IonQ Inc  |  Risk: Very High</t>
        </is>
      </c>
    </row>
    <row r="13" ht="409" customHeight="1">
      <c r="A13" s="41" t="inlineStr">
        <is>
          <t>Next quantum run candidate. Easy 10× within 2 years potential.</t>
        </is>
      </c>
    </row>
    <row r="14" ht="20" customHeight="1">
      <c r="A14" s="40" t="inlineStr">
        <is>
          <t xml:space="preserve">  RGTI  —  Rigetti Computing  |  Risk: Very High</t>
        </is>
      </c>
    </row>
    <row r="15" ht="409" customHeight="1">
      <c r="A15" s="42" t="inlineStr">
        <is>
          <t>Next quantum run candidate. Easy 10× within 2 years potential.</t>
        </is>
      </c>
    </row>
    <row r="16" ht="20" customHeight="1">
      <c r="A16" s="40" t="inlineStr">
        <is>
          <t xml:space="preserve">  QBTS  —  D-Wave Quantum  |  Risk: Very High</t>
        </is>
      </c>
    </row>
    <row r="17" ht="409" customHeight="1">
      <c r="A17" s="41" t="inlineStr">
        <is>
          <t>Next quantum run candidate. Easy 10× within 2 years potential.</t>
        </is>
      </c>
    </row>
  </sheetData>
  <mergeCells count="11">
    <mergeCell ref="A14:Q14"/>
    <mergeCell ref="A17:Q17"/>
    <mergeCell ref="A9:G9"/>
    <mergeCell ref="A3:Q3"/>
    <mergeCell ref="A12:Q12"/>
    <mergeCell ref="A2:Q2"/>
    <mergeCell ref="A16:Q16"/>
    <mergeCell ref="A15:Q15"/>
    <mergeCell ref="A11:Q11"/>
    <mergeCell ref="A1:Q1"/>
    <mergeCell ref="A13:Q13"/>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Q26"/>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43"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10:33 PM</t>
        </is>
      </c>
    </row>
    <row r="4">
      <c r="A4" s="44" t="inlineStr">
        <is>
          <t>Ticker</t>
        </is>
      </c>
      <c r="B4" s="44" t="inlineStr">
        <is>
          <t>Company</t>
        </is>
      </c>
      <c r="C4" s="44" t="inlineStr">
        <is>
          <t>Focus / Niche</t>
        </is>
      </c>
      <c r="D4" s="44" t="inlineStr">
        <is>
          <t>Risk</t>
        </is>
      </c>
      <c r="E4" s="44" t="inlineStr">
        <is>
          <t>Current
Price</t>
        </is>
      </c>
      <c r="F4" s="44" t="inlineStr">
        <is>
          <t>Today's
+/- %</t>
        </is>
      </c>
      <c r="G4" s="44" t="inlineStr">
        <is>
          <t>Purchase
Price</t>
        </is>
      </c>
      <c r="H4" s="44" t="inlineStr">
        <is>
          <t>Shares
Owned</t>
        </is>
      </c>
      <c r="I4" s="44" t="inlineStr">
        <is>
          <t>Total
Cost</t>
        </is>
      </c>
      <c r="J4" s="44" t="inlineStr">
        <is>
          <t>Current
Value</t>
        </is>
      </c>
      <c r="K4" s="44" t="inlineStr">
        <is>
          <t>P&amp;L ($)</t>
        </is>
      </c>
      <c r="L4" s="44" t="inlineStr">
        <is>
          <t>P&amp;L (%)</t>
        </is>
      </c>
      <c r="M4" s="44" t="inlineStr">
        <is>
          <t>52W
High</t>
        </is>
      </c>
      <c r="N4" s="44" t="inlineStr">
        <is>
          <t>52W
Low</t>
        </is>
      </c>
      <c r="O4" s="44" t="inlineStr">
        <is>
          <t>% from
52W High</t>
        </is>
      </c>
      <c r="P4" s="44" t="inlineStr">
        <is>
          <t>Analyst
Target</t>
        </is>
      </c>
      <c r="Q4" s="44" t="inlineStr">
        <is>
          <t>Upside to
Target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AVGO</t>
        </is>
      </c>
      <c r="B6" s="7" t="inlineStr">
        <is>
          <t>Broadcom Inc</t>
        </is>
      </c>
      <c r="C6" s="7" t="inlineStr">
        <is>
          <t>Semiconductors, networking</t>
        </is>
      </c>
      <c r="D6" s="6" t="inlineStr">
        <is>
          <t>Medium</t>
        </is>
      </c>
      <c r="E6" s="28" t="n">
        <v>425.44</v>
      </c>
      <c r="F6" s="45" t="n">
        <v>-1.518517953378183</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AMD</t>
        </is>
      </c>
      <c r="B8" s="7" t="inlineStr">
        <is>
          <t>Advanced Micro Devices</t>
        </is>
      </c>
      <c r="C8" s="7" t="inlineStr">
        <is>
          <t>CPUs, GPUs, AI chips</t>
        </is>
      </c>
      <c r="D8" s="6" t="inlineStr">
        <is>
          <t>Medium</t>
        </is>
      </c>
      <c r="E8" s="28" t="n">
        <v>421.39</v>
      </c>
      <c r="F8" s="29" t="n">
        <v>1.7850276928593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INTC</t>
        </is>
      </c>
      <c r="B9" s="10" t="inlineStr">
        <is>
          <t>Intel Corp</t>
        </is>
      </c>
      <c r="C9" s="10" t="inlineStr">
        <is>
          <t>CPUs, AI accelerators</t>
        </is>
      </c>
      <c r="D9" s="9" t="inlineStr">
        <is>
          <t>Med-High</t>
        </is>
      </c>
      <c r="E9" s="28" t="n">
        <v>113.01</v>
      </c>
      <c r="F9" s="45" t="n">
        <v>-0.2999540042077861</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ARM</t>
        </is>
      </c>
      <c r="B10" s="7" t="inlineStr">
        <is>
          <t>Arm Holdings</t>
        </is>
      </c>
      <c r="C10" s="7" t="inlineStr">
        <is>
          <t>Chip architecture licensing</t>
        </is>
      </c>
      <c r="D10" s="6" t="inlineStr">
        <is>
          <t>Medium</t>
        </is>
      </c>
      <c r="E10" s="28" t="n">
        <v>237.3</v>
      </c>
      <c r="F10" s="29" t="n">
        <v>4.893251581027195</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2" ht="20" customHeight="1">
      <c r="A12" s="46" t="inlineStr">
        <is>
          <t>PORTFOLIO TOTALS</t>
        </is>
      </c>
      <c r="H12" s="47">
        <f>SUM(H5:H10)</f>
        <v/>
      </c>
      <c r="I12" s="47">
        <f>SUM(I5:I10)</f>
        <v/>
      </c>
      <c r="J12" s="47">
        <f>SUM(J5:J10)</f>
        <v/>
      </c>
      <c r="K12" s="48">
        <f>IFERROR(J12/H12,"")</f>
        <v/>
      </c>
    </row>
    <row r="14" ht="22" customHeight="1">
      <c r="A14" s="49" t="inlineStr">
        <is>
          <t>📌  INVESTMENT THESIS &amp; RESEARCH NOTES</t>
        </is>
      </c>
    </row>
    <row r="15" ht="20" customHeight="1">
      <c r="A15" s="40" t="inlineStr">
        <is>
          <t xml:space="preserve">  NVDA  —  NVIDIA Corp  |  Risk: Medium</t>
        </is>
      </c>
    </row>
    <row r="16" ht="409" customHeight="1">
      <c r="A16" s="41" t="inlineStr">
        <is>
          <t>The AI compute king. Stability and steady compounder.</t>
        </is>
      </c>
    </row>
    <row r="17" ht="20" customHeight="1">
      <c r="A17" s="40" t="inlineStr">
        <is>
          <t xml:space="preserve">  AVGO  —  Broadcom Inc  |  Risk: Medium</t>
        </is>
      </c>
    </row>
    <row r="18" ht="409" customHeight="1">
      <c r="A18" s="42" t="inlineStr">
        <is>
          <t>Stability and steady compounder.</t>
        </is>
      </c>
    </row>
    <row r="19" ht="20" customHeight="1">
      <c r="A19" s="40" t="inlineStr">
        <is>
          <t xml:space="preserve">  LRCX  —  Lam Research  |  Risk: Medium</t>
        </is>
      </c>
    </row>
    <row r="20" ht="409" customHeight="1">
      <c r="A20" s="41" t="inlineStr">
        <is>
          <t>Stability and steady compounder. DRAM equipment leader.</t>
        </is>
      </c>
    </row>
    <row r="21" ht="20" customHeight="1">
      <c r="A21" s="40" t="inlineStr">
        <is>
          <t xml:space="preserve">  AMD  —  Advanced Micro Devices  |  Risk: Medium</t>
        </is>
      </c>
    </row>
    <row r="22" ht="409" customHeight="1">
      <c r="A22" s="42" t="inlineStr">
        <is>
          <t>CPU maker deep in the AI infrastructure stack.</t>
        </is>
      </c>
    </row>
    <row r="23" ht="20" customHeight="1">
      <c r="A23" s="40" t="inlineStr">
        <is>
          <t xml:space="preserve">  INTC  —  Intel Corp  |  Risk: Med-High</t>
        </is>
      </c>
    </row>
    <row r="24" ht="409" customHeight="1">
      <c r="A24" s="41" t="inlineStr">
        <is>
          <t>CPU maker in AI infrastructure stack. Turnaround story.</t>
        </is>
      </c>
    </row>
    <row r="25" ht="20" customHeight="1">
      <c r="A25" s="40" t="inlineStr">
        <is>
          <t xml:space="preserve">  ARM  —  Arm Holdings  |  Risk: Medium</t>
        </is>
      </c>
    </row>
    <row r="26" ht="409" customHeight="1">
      <c r="A26" s="42" t="inlineStr">
        <is>
          <t>Architecture behind most AI edge chips. Royalty model.</t>
        </is>
      </c>
    </row>
  </sheetData>
  <mergeCells count="17">
    <mergeCell ref="A14:Q14"/>
    <mergeCell ref="A22:Q22"/>
    <mergeCell ref="A17:Q17"/>
    <mergeCell ref="A18:Q18"/>
    <mergeCell ref="A3:Q3"/>
    <mergeCell ref="A21:Q21"/>
    <mergeCell ref="A12:G12"/>
    <mergeCell ref="A20:Q20"/>
    <mergeCell ref="A24:Q24"/>
    <mergeCell ref="A2:Q2"/>
    <mergeCell ref="A16:Q16"/>
    <mergeCell ref="A15:Q15"/>
    <mergeCell ref="A26:Q26"/>
    <mergeCell ref="A25:Q25"/>
    <mergeCell ref="A19:Q19"/>
    <mergeCell ref="A1:Q1"/>
    <mergeCell ref="A23:Q23"/>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Q29"/>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0"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10:33 PM</t>
        </is>
      </c>
    </row>
    <row r="4">
      <c r="A4" s="51" t="inlineStr">
        <is>
          <t>Ticker</t>
        </is>
      </c>
      <c r="B4" s="51" t="inlineStr">
        <is>
          <t>Company</t>
        </is>
      </c>
      <c r="C4" s="51" t="inlineStr">
        <is>
          <t>Focus / Niche</t>
        </is>
      </c>
      <c r="D4" s="51" t="inlineStr">
        <is>
          <t>Risk</t>
        </is>
      </c>
      <c r="E4" s="51" t="inlineStr">
        <is>
          <t>Current
Price</t>
        </is>
      </c>
      <c r="F4" s="51" t="inlineStr">
        <is>
          <t>Today's
+/- %</t>
        </is>
      </c>
      <c r="G4" s="51" t="inlineStr">
        <is>
          <t>Purchase
Price</t>
        </is>
      </c>
      <c r="H4" s="51" t="inlineStr">
        <is>
          <t>Shares
Owned</t>
        </is>
      </c>
      <c r="I4" s="51" t="inlineStr">
        <is>
          <t>Total
Cost</t>
        </is>
      </c>
      <c r="J4" s="51" t="inlineStr">
        <is>
          <t>Current
Value</t>
        </is>
      </c>
      <c r="K4" s="51" t="inlineStr">
        <is>
          <t>P&amp;L ($)</t>
        </is>
      </c>
      <c r="L4" s="51" t="inlineStr">
        <is>
          <t>P&amp;L (%)</t>
        </is>
      </c>
      <c r="M4" s="51" t="inlineStr">
        <is>
          <t>52W
High</t>
        </is>
      </c>
      <c r="N4" s="51" t="inlineStr">
        <is>
          <t>52W
Low</t>
        </is>
      </c>
      <c r="O4" s="51" t="inlineStr">
        <is>
          <t>% from
52W High</t>
        </is>
      </c>
      <c r="P4" s="51" t="inlineStr">
        <is>
          <t>Analyst
Target</t>
        </is>
      </c>
      <c r="Q4" s="51" t="inlineStr">
        <is>
          <t>Upside to
Target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CRDO</t>
        </is>
      </c>
      <c r="B7" s="10" t="inlineStr">
        <is>
          <t>Credo Technology</t>
        </is>
      </c>
      <c r="C7" s="10" t="inlineStr">
        <is>
          <t>High-speed connectivity / SerDes for AI DCs</t>
        </is>
      </c>
      <c r="D7" s="9" t="inlineStr">
        <is>
          <t>High</t>
        </is>
      </c>
      <c r="E7" s="28" t="n">
        <v>198.29</v>
      </c>
      <c r="F7" s="45" t="n">
        <v>-0.1057968331824622</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ALGM</t>
        </is>
      </c>
      <c r="B8" s="7" t="inlineStr">
        <is>
          <t>Allegro MicroSystems</t>
        </is>
      </c>
      <c r="C8" s="7" t="inlineStr">
        <is>
          <t>Power &amp; sensing semiconductors</t>
        </is>
      </c>
      <c r="D8" s="6" t="inlineStr">
        <is>
          <t>Med-High</t>
        </is>
      </c>
      <c r="E8" s="28" t="n">
        <v>51.37</v>
      </c>
      <c r="F8" s="29" t="n">
        <v>2.7541779403253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HIMX</t>
        </is>
      </c>
      <c r="B9" s="10" t="inlineStr">
        <is>
          <t>Himax Technologies</t>
        </is>
      </c>
      <c r="C9" s="10" t="inlineStr">
        <is>
          <t>Display drivers + AR/AI vision chips</t>
        </is>
      </c>
      <c r="D9" s="9" t="inlineStr">
        <is>
          <t>High</t>
        </is>
      </c>
      <c r="E9" s="28" t="n">
        <v>12.33</v>
      </c>
      <c r="F9" s="45" t="n">
        <v>-0.2830576327856492</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row>
    <row r="13" ht="20" customHeight="1">
      <c r="A13" s="52" t="inlineStr">
        <is>
          <t>PORTFOLIO TOTALS</t>
        </is>
      </c>
      <c r="H13" s="53">
        <f>SUM(H5:H11)</f>
        <v/>
      </c>
      <c r="I13" s="53">
        <f>SUM(I5:I11)</f>
        <v/>
      </c>
      <c r="J13" s="53">
        <f>SUM(J5:J11)</f>
        <v/>
      </c>
      <c r="K13" s="54">
        <f>IFERROR(J13/H13,"")</f>
        <v/>
      </c>
    </row>
    <row r="15" ht="22" customHeight="1">
      <c r="A15" s="55" t="inlineStr">
        <is>
          <t>📌  INVESTMENT THESIS &amp; RESEARCH NOTES</t>
        </is>
      </c>
    </row>
    <row r="16" ht="20" customHeight="1">
      <c r="A16" s="40" t="inlineStr">
        <is>
          <t xml:space="preserve">  NVTS  —  Navitas Semiconductor  |  Risk: High</t>
        </is>
      </c>
    </row>
    <row r="17" ht="409" customHeight="1">
      <c r="A17" s="41" t="inlineStr">
        <is>
          <t>AI data centers need radically more efficient power delivery. Picks-and-shovels for compute growth.</t>
        </is>
      </c>
    </row>
    <row r="18" ht="20" customHeight="1">
      <c r="A18" s="40" t="inlineStr">
        <is>
          <t xml:space="preserve">  AEHR  —  AEHR Test Systems  |  Risk: High</t>
        </is>
      </c>
    </row>
    <row r="19" ht="409" customHeight="1">
      <c r="A19" s="42" t="inlineStr">
        <is>
          <t>Classic shovels in a gold rush. More AI chips = more testing bottleneck demand.</t>
        </is>
      </c>
    </row>
    <row r="20" ht="20" customHeight="1">
      <c r="A20" s="40" t="inlineStr">
        <is>
          <t xml:space="preserve">  CRDO  —  Credo Technology  |  Risk: High</t>
        </is>
      </c>
    </row>
    <row r="21" ht="409" customHeight="1">
      <c r="A21" s="41" t="inlineStr">
        <is>
          <t>GPUs don't matter if data can't move between them. Cleanest AI infrastructure picks-and-shovels name.</t>
        </is>
      </c>
    </row>
    <row r="22" ht="20" customHeight="1">
      <c r="A22" s="40" t="inlineStr">
        <is>
          <t xml:space="preserve">  ALGM  —  Allegro MicroSystems  |  Risk: Med-High</t>
        </is>
      </c>
    </row>
    <row r="23" ht="409" customHeight="1">
      <c r="A23" s="42" t="inlineStr">
        <is>
          <t>Electrification + AI hardware power efficiency. Quiet compounder, early in AI rerating narrative.</t>
        </is>
      </c>
    </row>
    <row r="24" ht="20" customHeight="1">
      <c r="A24" s="40" t="inlineStr">
        <is>
          <t xml:space="preserve">  HIMX  —  Himax Technologies  |  Risk: High</t>
        </is>
      </c>
    </row>
    <row r="25" ht="409" customHeight="1">
      <c r="A25" s="41" t="inlineStr">
        <is>
          <t>Exposure to AI edge devices + optics. Higher volatility, historically rerates fast on cycles.</t>
        </is>
      </c>
    </row>
    <row r="26" ht="20" customHeight="1">
      <c r="A26" s="40" t="inlineStr">
        <is>
          <t xml:space="preserve">  MTSI  —  MACOM Technology  |  Risk: Med-High</t>
        </is>
      </c>
    </row>
    <row r="27" ht="409" customHeight="1">
      <c r="A27" s="42" t="inlineStr">
        <is>
          <t>AI datacenter interconnect + telecom backbone. Less hype, more industrial AI backbone exposure.</t>
        </is>
      </c>
    </row>
    <row r="28" ht="20" customHeight="1">
      <c r="A28" s="40" t="inlineStr">
        <is>
          <t xml:space="preserve">  AEVA  —  Aeva Technologies  |  Risk: Very High</t>
        </is>
      </c>
    </row>
    <row r="29" ht="409" customHeight="1">
      <c r="A29" s="41" t="inlineStr">
        <is>
          <t>Autonomous systems + robotics long tail. Pure asymmetric bet: low probability, high upside.</t>
        </is>
      </c>
    </row>
  </sheetData>
  <mergeCells count="19">
    <mergeCell ref="A24:Q24"/>
    <mergeCell ref="A15:Q15"/>
    <mergeCell ref="A1:Q1"/>
    <mergeCell ref="A13:G13"/>
    <mergeCell ref="A16:Q16"/>
    <mergeCell ref="A25:Q25"/>
    <mergeCell ref="A18:Q18"/>
    <mergeCell ref="A27:Q27"/>
    <mergeCell ref="A3:Q3"/>
    <mergeCell ref="A21:Q21"/>
    <mergeCell ref="A26:Q26"/>
    <mergeCell ref="A2:Q2"/>
    <mergeCell ref="A23:Q23"/>
    <mergeCell ref="A22:Q22"/>
    <mergeCell ref="A17:Q17"/>
    <mergeCell ref="A29:Q29"/>
    <mergeCell ref="A20:Q20"/>
    <mergeCell ref="A28:Q28"/>
    <mergeCell ref="A19:Q19"/>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6"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10:33 PM</t>
        </is>
      </c>
    </row>
    <row r="4">
      <c r="A4" s="57" t="inlineStr">
        <is>
          <t>Ticker</t>
        </is>
      </c>
      <c r="B4" s="57" t="inlineStr">
        <is>
          <t>Company</t>
        </is>
      </c>
      <c r="C4" s="57" t="inlineStr">
        <is>
          <t>Focus / Niche</t>
        </is>
      </c>
      <c r="D4" s="57" t="inlineStr">
        <is>
          <t>Risk</t>
        </is>
      </c>
      <c r="E4" s="57" t="inlineStr">
        <is>
          <t>Current
Price</t>
        </is>
      </c>
      <c r="F4" s="57" t="inlineStr">
        <is>
          <t>Today's
+/- %</t>
        </is>
      </c>
      <c r="G4" s="57" t="inlineStr">
        <is>
          <t>Purchase
Price</t>
        </is>
      </c>
      <c r="H4" s="57" t="inlineStr">
        <is>
          <t>Shares
Owned</t>
        </is>
      </c>
      <c r="I4" s="57" t="inlineStr">
        <is>
          <t>Total
Cost</t>
        </is>
      </c>
      <c r="J4" s="57" t="inlineStr">
        <is>
          <t>Current
Value</t>
        </is>
      </c>
      <c r="K4" s="57" t="inlineStr">
        <is>
          <t>P&amp;L ($)</t>
        </is>
      </c>
      <c r="L4" s="57" t="inlineStr">
        <is>
          <t>P&amp;L (%)</t>
        </is>
      </c>
      <c r="M4" s="57" t="inlineStr">
        <is>
          <t>52W
High</t>
        </is>
      </c>
      <c r="N4" s="57" t="inlineStr">
        <is>
          <t>52W
Low</t>
        </is>
      </c>
      <c r="O4" s="57" t="inlineStr">
        <is>
          <t>% from
52W High</t>
        </is>
      </c>
      <c r="P4" s="57" t="inlineStr">
        <is>
          <t>Analyst
Target</t>
        </is>
      </c>
      <c r="Q4" s="57" t="inlineStr">
        <is>
          <t>Upside to
Target</t>
        </is>
      </c>
    </row>
    <row r="5">
      <c r="A5" s="27" t="inlineStr">
        <is>
          <t>LITE</t>
        </is>
      </c>
      <c r="B5" s="10" t="inlineStr">
        <is>
          <t>Lumentum Holdings</t>
        </is>
      </c>
      <c r="C5" s="10" t="inlineStr">
        <is>
          <t>Photonics, optical components for AI DCs</t>
        </is>
      </c>
      <c r="D5" s="9" t="inlineStr">
        <is>
          <t>High</t>
        </is>
      </c>
      <c r="E5" s="28" t="n">
        <v>944.28</v>
      </c>
      <c r="F5" s="45" t="n">
        <v>-1.642619728464659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58" t="inlineStr">
        <is>
          <t>PORTFOLIO TOTALS</t>
        </is>
      </c>
      <c r="H7" s="59">
        <f>SUM(H5:H5)</f>
        <v/>
      </c>
      <c r="I7" s="59">
        <f>SUM(I5:I5)</f>
        <v/>
      </c>
      <c r="J7" s="59">
        <f>SUM(J5:J5)</f>
        <v/>
      </c>
      <c r="K7" s="60">
        <f>IFERROR(J7/H7,"")</f>
        <v/>
      </c>
    </row>
    <row r="9" ht="22" customHeight="1">
      <c r="A9" s="61" t="inlineStr">
        <is>
          <t>📌  INVESTMENT THESIS &amp; RESEARCH NOTES</t>
        </is>
      </c>
    </row>
    <row r="10" ht="20" customHeight="1">
      <c r="A10" s="40" t="inlineStr">
        <is>
          <t xml:space="preserve">  LITE  —  Lumentum Holdings  |  Risk: High</t>
        </is>
      </c>
    </row>
    <row r="11" ht="409" customHeight="1">
      <c r="A11" s="41" t="inlineStr">
        <is>
          <t>King of Photonics. Could moonshot. Key bottleneck in AI data movement. Critical infrastructure.</t>
        </is>
      </c>
    </row>
  </sheetData>
  <mergeCells count="7">
    <mergeCell ref="A9:Q9"/>
    <mergeCell ref="A3:Q3"/>
    <mergeCell ref="A2:Q2"/>
    <mergeCell ref="A10:Q10"/>
    <mergeCell ref="A7:G7"/>
    <mergeCell ref="A11:Q11"/>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Q2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2"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10:33 PM</t>
        </is>
      </c>
    </row>
    <row r="4">
      <c r="A4" s="63" t="inlineStr">
        <is>
          <t>Ticker</t>
        </is>
      </c>
      <c r="B4" s="63" t="inlineStr">
        <is>
          <t>Company</t>
        </is>
      </c>
      <c r="C4" s="63" t="inlineStr">
        <is>
          <t>Focus / Niche</t>
        </is>
      </c>
      <c r="D4" s="63" t="inlineStr">
        <is>
          <t>Risk</t>
        </is>
      </c>
      <c r="E4" s="63" t="inlineStr">
        <is>
          <t>Current
Price</t>
        </is>
      </c>
      <c r="F4" s="63" t="inlineStr">
        <is>
          <t>Today's
+/- %</t>
        </is>
      </c>
      <c r="G4" s="63" t="inlineStr">
        <is>
          <t>Purchase
Price</t>
        </is>
      </c>
      <c r="H4" s="63" t="inlineStr">
        <is>
          <t>Shares
Owned</t>
        </is>
      </c>
      <c r="I4" s="63" t="inlineStr">
        <is>
          <t>Total
Cost</t>
        </is>
      </c>
      <c r="J4" s="63" t="inlineStr">
        <is>
          <t>Current
Value</t>
        </is>
      </c>
      <c r="K4" s="63" t="inlineStr">
        <is>
          <t>P&amp;L ($)</t>
        </is>
      </c>
      <c r="L4" s="63" t="inlineStr">
        <is>
          <t>P&amp;L (%)</t>
        </is>
      </c>
      <c r="M4" s="63" t="inlineStr">
        <is>
          <t>52W
High</t>
        </is>
      </c>
      <c r="N4" s="63" t="inlineStr">
        <is>
          <t>52W
Low</t>
        </is>
      </c>
      <c r="O4" s="63" t="inlineStr">
        <is>
          <t>% from
52W High</t>
        </is>
      </c>
      <c r="P4" s="63" t="inlineStr">
        <is>
          <t>Analyst
Target</t>
        </is>
      </c>
      <c r="Q4" s="63" t="inlineStr">
        <is>
          <t>Upside to
Target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VRT</t>
        </is>
      </c>
      <c r="B8" s="7" t="inlineStr">
        <is>
          <t>Vertiv Holdings</t>
        </is>
      </c>
      <c r="C8" s="7" t="inlineStr">
        <is>
          <t>Cooling systems for AI data centers</t>
        </is>
      </c>
      <c r="D8" s="6" t="inlineStr">
        <is>
          <t>Medium</t>
        </is>
      </c>
      <c r="E8" s="28" t="n">
        <v>358.92</v>
      </c>
      <c r="F8" s="29" t="n">
        <v>2.939746301010801</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64" t="inlineStr">
        <is>
          <t>PORTFOLIO TOTALS</t>
        </is>
      </c>
      <c r="H10" s="65">
        <f>SUM(H5:H8)</f>
        <v/>
      </c>
      <c r="I10" s="65">
        <f>SUM(I5:I8)</f>
        <v/>
      </c>
      <c r="J10" s="65">
        <f>SUM(J5:J8)</f>
        <v/>
      </c>
      <c r="K10" s="66">
        <f>IFERROR(J10/H10,"")</f>
        <v/>
      </c>
    </row>
    <row r="12" ht="22" customHeight="1">
      <c r="A12" s="67" t="inlineStr">
        <is>
          <t>📌  INVESTMENT THESIS &amp; RESEARCH NOTES</t>
        </is>
      </c>
    </row>
    <row r="13" ht="20" customHeight="1">
      <c r="A13" s="40" t="inlineStr">
        <is>
          <t xml:space="preserve">  CAT  —  Caterpillar Inc  |  Risk: Low-Med</t>
        </is>
      </c>
    </row>
    <row r="14" ht="409" customHeight="1">
      <c r="A14" s="41" t="inlineStr">
        <is>
          <t>Actual builder and materials company in the AI data center trade.</t>
        </is>
      </c>
    </row>
    <row r="15" ht="20" customHeight="1">
      <c r="A15" s="40" t="inlineStr">
        <is>
          <t xml:space="preserve">  FIX  —  Comfort Systems USA  |  Risk: Medium</t>
        </is>
      </c>
    </row>
    <row r="16" ht="409" customHeight="1">
      <c r="A16" s="42" t="inlineStr">
        <is>
          <t>Builder AND cooling company. AI data center HVAC &amp; MEP systems. Major growing bottleneck.</t>
        </is>
      </c>
    </row>
    <row r="17" ht="20" customHeight="1">
      <c r="A17" s="40" t="inlineStr">
        <is>
          <t xml:space="preserve">  POWL  —  Powell Industries  |  Risk: Medium</t>
        </is>
      </c>
    </row>
    <row r="18" ht="409" customHeight="1">
      <c r="A18" s="41" t="inlineStr">
        <is>
          <t>Electrical infrastructure builder for AI data centers.</t>
        </is>
      </c>
    </row>
    <row r="19" ht="20" customHeight="1">
      <c r="A19" s="40" t="inlineStr">
        <is>
          <t xml:space="preserve">  VRT  —  Vertiv Holdings  |  Risk: Medium</t>
        </is>
      </c>
    </row>
    <row r="20" ht="409" customHeight="1">
      <c r="A20" s="42" t="inlineStr">
        <is>
          <t>Premier AI data center cooling play. Cooling is a growing bottleneck.</t>
        </is>
      </c>
    </row>
  </sheetData>
  <mergeCells count="13">
    <mergeCell ref="A14:Q14"/>
    <mergeCell ref="A17:Q17"/>
    <mergeCell ref="A18:Q18"/>
    <mergeCell ref="A3:Q3"/>
    <mergeCell ref="A12:Q12"/>
    <mergeCell ref="A20:Q20"/>
    <mergeCell ref="A2:Q2"/>
    <mergeCell ref="A16:Q16"/>
    <mergeCell ref="A15:Q15"/>
    <mergeCell ref="A19:Q19"/>
    <mergeCell ref="A1:Q1"/>
    <mergeCell ref="A10:G10"/>
    <mergeCell ref="A13:Q13"/>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2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10:33 PM</t>
        </is>
      </c>
    </row>
    <row r="4">
      <c r="A4" s="69" t="inlineStr">
        <is>
          <t>Ticker</t>
        </is>
      </c>
      <c r="B4" s="69" t="inlineStr">
        <is>
          <t>Company</t>
        </is>
      </c>
      <c r="C4" s="69" t="inlineStr">
        <is>
          <t>Focus / Niche</t>
        </is>
      </c>
      <c r="D4" s="69" t="inlineStr">
        <is>
          <t>Risk</t>
        </is>
      </c>
      <c r="E4" s="69" t="inlineStr">
        <is>
          <t>Current
Price</t>
        </is>
      </c>
      <c r="F4" s="69" t="inlineStr">
        <is>
          <t>Today's
+/- %</t>
        </is>
      </c>
      <c r="G4" s="69" t="inlineStr">
        <is>
          <t>Purchase
Price</t>
        </is>
      </c>
      <c r="H4" s="69" t="inlineStr">
        <is>
          <t>Shares
Owned</t>
        </is>
      </c>
      <c r="I4" s="69" t="inlineStr">
        <is>
          <t>Total
Cost</t>
        </is>
      </c>
      <c r="J4" s="69" t="inlineStr">
        <is>
          <t>Current
Value</t>
        </is>
      </c>
      <c r="K4" s="69" t="inlineStr">
        <is>
          <t>P&amp;L ($)</t>
        </is>
      </c>
      <c r="L4" s="69" t="inlineStr">
        <is>
          <t>P&amp;L (%)</t>
        </is>
      </c>
      <c r="M4" s="69" t="inlineStr">
        <is>
          <t>52W
High</t>
        </is>
      </c>
      <c r="N4" s="69" t="inlineStr">
        <is>
          <t>52W
Low</t>
        </is>
      </c>
      <c r="O4" s="69" t="inlineStr">
        <is>
          <t>% from
52W High</t>
        </is>
      </c>
      <c r="P4" s="69" t="inlineStr">
        <is>
          <t>Analyst
Target</t>
        </is>
      </c>
      <c r="Q4" s="69" t="inlineStr">
        <is>
          <t>Upside to
Target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BE</t>
        </is>
      </c>
      <c r="B7" s="10" t="inlineStr">
        <is>
          <t>Bloom Energy</t>
        </is>
      </c>
      <c r="C7" s="10" t="inlineStr">
        <is>
          <t>Fuel cell power generation</t>
        </is>
      </c>
      <c r="D7" s="9" t="inlineStr">
        <is>
          <t>High</t>
        </is>
      </c>
      <c r="E7" s="28" t="n">
        <v>285.47</v>
      </c>
      <c r="F7" s="45" t="n">
        <v>-4.067043441964675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OKLO</t>
        </is>
      </c>
      <c r="B8" s="7" t="inlineStr">
        <is>
          <t>Oklo Inc</t>
        </is>
      </c>
      <c r="C8" s="7" t="inlineStr">
        <is>
          <t>Nuclear SMRs + nuclear fuel waste</t>
        </is>
      </c>
      <c r="D8" s="6" t="inlineStr">
        <is>
          <t>Very High</t>
        </is>
      </c>
      <c r="E8" s="28" t="n">
        <v>79.62</v>
      </c>
      <c r="F8" s="29" t="n">
        <v>17.15715530691883</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0" t="inlineStr">
        <is>
          <t>PORTFOLIO TOTALS</t>
        </is>
      </c>
      <c r="H10" s="71">
        <f>SUM(H5:H8)</f>
        <v/>
      </c>
      <c r="I10" s="71">
        <f>SUM(I5:I8)</f>
        <v/>
      </c>
      <c r="J10" s="71">
        <f>SUM(J5:J8)</f>
        <v/>
      </c>
      <c r="K10" s="72">
        <f>IFERROR(J10/H10,"")</f>
        <v/>
      </c>
    </row>
    <row r="12" ht="22" customHeight="1">
      <c r="A12" s="73" t="inlineStr">
        <is>
          <t>📌  INVESTMENT THESIS &amp; RESEARCH NOTES</t>
        </is>
      </c>
    </row>
    <row r="13" ht="20" customHeight="1">
      <c r="A13" s="40" t="inlineStr">
        <is>
          <t xml:space="preserve">  GEV  —  GE Vernova  |  Risk: Medium</t>
        </is>
      </c>
    </row>
    <row r="14" ht="409" customHeight="1">
      <c r="A14" s="41" t="inlineStr">
        <is>
          <t>Stability and steady compounder. Power and grid maintenance for AI buildout.</t>
        </is>
      </c>
    </row>
    <row r="15" ht="20" customHeight="1">
      <c r="A15" s="40" t="inlineStr">
        <is>
          <t xml:space="preserve">  PWR  —  Quanta Services  |  Risk: Medium</t>
        </is>
      </c>
    </row>
    <row r="16" ht="409" customHeight="1">
      <c r="A16" s="42" t="inlineStr">
        <is>
          <t>Power generation and grid maintenance. Growing bottleneck for AI buildout.</t>
        </is>
      </c>
    </row>
    <row r="17" ht="20" customHeight="1">
      <c r="A17" s="40" t="inlineStr">
        <is>
          <t xml:space="preserve">  BE  —  Bloom Energy  |  Risk: High</t>
        </is>
      </c>
    </row>
    <row r="18" ht="409" customHeight="1">
      <c r="A18" s="41" t="inlineStr">
        <is>
          <t>Moonshot potential if hydrogen &amp; fuel cell technology takes off.</t>
        </is>
      </c>
    </row>
    <row r="19" ht="20" customHeight="1">
      <c r="A19" s="40" t="inlineStr">
        <is>
          <t xml:space="preserve">  OKLO  —  Oklo Inc  |  Risk: Very High</t>
        </is>
      </c>
    </row>
    <row r="20" ht="409" customHeight="1">
      <c r="A20" s="42" t="inlineStr">
        <is>
          <t>Massive moonshot potential. Big regulatory &amp; execution risk. Worth a small % of portfolio given massive potential.</t>
        </is>
      </c>
    </row>
  </sheetData>
  <mergeCells count="13">
    <mergeCell ref="A14:Q14"/>
    <mergeCell ref="A17:Q17"/>
    <mergeCell ref="A18:Q18"/>
    <mergeCell ref="A3:Q3"/>
    <mergeCell ref="A12:Q12"/>
    <mergeCell ref="A20:Q20"/>
    <mergeCell ref="A2:Q2"/>
    <mergeCell ref="A16:Q16"/>
    <mergeCell ref="A15:Q15"/>
    <mergeCell ref="A19:Q19"/>
    <mergeCell ref="A1:Q1"/>
    <mergeCell ref="A10:G10"/>
    <mergeCell ref="A13:Q13"/>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Q14"/>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74"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10:33 PM</t>
        </is>
      </c>
    </row>
    <row r="4">
      <c r="A4" s="75" t="inlineStr">
        <is>
          <t>Ticker</t>
        </is>
      </c>
      <c r="B4" s="75" t="inlineStr">
        <is>
          <t>Company</t>
        </is>
      </c>
      <c r="C4" s="75" t="inlineStr">
        <is>
          <t>Focus / Niche</t>
        </is>
      </c>
      <c r="D4" s="75" t="inlineStr">
        <is>
          <t>Risk</t>
        </is>
      </c>
      <c r="E4" s="75" t="inlineStr">
        <is>
          <t>Current
Price</t>
        </is>
      </c>
      <c r="F4" s="75" t="inlineStr">
        <is>
          <t>Today's
+/- %</t>
        </is>
      </c>
      <c r="G4" s="75" t="inlineStr">
        <is>
          <t>Purchase
Price</t>
        </is>
      </c>
      <c r="H4" s="75" t="inlineStr">
        <is>
          <t>Shares
Owned</t>
        </is>
      </c>
      <c r="I4" s="75" t="inlineStr">
        <is>
          <t>Total
Cost</t>
        </is>
      </c>
      <c r="J4" s="75" t="inlineStr">
        <is>
          <t>Current
Value</t>
        </is>
      </c>
      <c r="K4" s="75" t="inlineStr">
        <is>
          <t>P&amp;L ($)</t>
        </is>
      </c>
      <c r="L4" s="75" t="inlineStr">
        <is>
          <t>P&amp;L (%)</t>
        </is>
      </c>
      <c r="M4" s="75" t="inlineStr">
        <is>
          <t>52W
High</t>
        </is>
      </c>
      <c r="N4" s="75" t="inlineStr">
        <is>
          <t>52W
Low</t>
        </is>
      </c>
      <c r="O4" s="75" t="inlineStr">
        <is>
          <t>% from
52W High</t>
        </is>
      </c>
      <c r="P4" s="75" t="inlineStr">
        <is>
          <t>Analyst
Target</t>
        </is>
      </c>
      <c r="Q4" s="75" t="inlineStr">
        <is>
          <t>Upside to
Target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PLTR</t>
        </is>
      </c>
      <c r="B6" s="7" t="inlineStr">
        <is>
          <t>Palantir Technologies</t>
        </is>
      </c>
      <c r="C6" s="7" t="inlineStr">
        <is>
          <t>AI software, government AI stack</t>
        </is>
      </c>
      <c r="D6" s="6" t="inlineStr">
        <is>
          <t>Med-High</t>
        </is>
      </c>
      <c r="E6" s="28" t="n">
        <v>133.79</v>
      </c>
      <c r="F6" s="45" t="n">
        <v>-1.101424241474859</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76" t="inlineStr">
        <is>
          <t>PORTFOLIO TOTALS</t>
        </is>
      </c>
      <c r="H8" s="77">
        <f>SUM(H5:H6)</f>
        <v/>
      </c>
      <c r="I8" s="77">
        <f>SUM(I5:I6)</f>
        <v/>
      </c>
      <c r="J8" s="77">
        <f>SUM(J5:J6)</f>
        <v/>
      </c>
      <c r="K8" s="78">
        <f>IFERROR(J8/H8,"")</f>
        <v/>
      </c>
    </row>
    <row r="10" ht="22" customHeight="1">
      <c r="A10" s="79" t="inlineStr">
        <is>
          <t>📌  INVESTMENT THESIS &amp; RESEARCH NOTES</t>
        </is>
      </c>
    </row>
    <row r="11" ht="20" customHeight="1">
      <c r="A11" s="40" t="inlineStr">
        <is>
          <t xml:space="preserve">  NBIS  —  Nebius Group  |  Risk: High</t>
        </is>
      </c>
    </row>
    <row r="12" ht="409" customHeight="1">
      <c r="A12" s="41" t="inlineStr">
        <is>
          <t>Leading Neocloud with multiple revenue streams (Clickhouse, AV Ride). Modern Amazon/Google style company. Could become a future Hyperscaler.</t>
        </is>
      </c>
    </row>
    <row r="13" ht="20" customHeight="1">
      <c r="A13" s="40" t="inlineStr">
        <is>
          <t xml:space="preserve">  PLTR  —  Palantir Technologies  |  Risk: Med-High</t>
        </is>
      </c>
    </row>
    <row r="14" ht="409" customHeight="1">
      <c r="A14" s="42" t="inlineStr">
        <is>
          <t>Integral to the entire government AI stack. Not going anywhere. AI Software outlier outside the data center trade.</t>
        </is>
      </c>
    </row>
  </sheetData>
  <mergeCells count="9">
    <mergeCell ref="A14:Q14"/>
    <mergeCell ref="A3:Q3"/>
    <mergeCell ref="A8:G8"/>
    <mergeCell ref="A12:Q12"/>
    <mergeCell ref="A2:Q2"/>
    <mergeCell ref="A10:Q10"/>
    <mergeCell ref="A11:Q11"/>
    <mergeCell ref="A1:Q1"/>
    <mergeCell ref="A13:Q13"/>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0"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10:33 PM</t>
        </is>
      </c>
    </row>
    <row r="4">
      <c r="A4" s="81" t="inlineStr">
        <is>
          <t>Ticker</t>
        </is>
      </c>
      <c r="B4" s="81" t="inlineStr">
        <is>
          <t>Company</t>
        </is>
      </c>
      <c r="C4" s="81" t="inlineStr">
        <is>
          <t>Focus / Niche</t>
        </is>
      </c>
      <c r="D4" s="81" t="inlineStr">
        <is>
          <t>Risk</t>
        </is>
      </c>
      <c r="E4" s="81" t="inlineStr">
        <is>
          <t>Current
Price</t>
        </is>
      </c>
      <c r="F4" s="81" t="inlineStr">
        <is>
          <t>Today's
+/- %</t>
        </is>
      </c>
      <c r="G4" s="81" t="inlineStr">
        <is>
          <t>Purchase
Price</t>
        </is>
      </c>
      <c r="H4" s="81" t="inlineStr">
        <is>
          <t>Shares
Owned</t>
        </is>
      </c>
      <c r="I4" s="81" t="inlineStr">
        <is>
          <t>Total
Cost</t>
        </is>
      </c>
      <c r="J4" s="81" t="inlineStr">
        <is>
          <t>Current
Value</t>
        </is>
      </c>
      <c r="K4" s="81" t="inlineStr">
        <is>
          <t>P&amp;L ($)</t>
        </is>
      </c>
      <c r="L4" s="81" t="inlineStr">
        <is>
          <t>P&amp;L (%)</t>
        </is>
      </c>
      <c r="M4" s="81" t="inlineStr">
        <is>
          <t>52W
High</t>
        </is>
      </c>
      <c r="N4" s="81" t="inlineStr">
        <is>
          <t>52W
Low</t>
        </is>
      </c>
      <c r="O4" s="81" t="inlineStr">
        <is>
          <t>% from
52W High</t>
        </is>
      </c>
      <c r="P4" s="81" t="inlineStr">
        <is>
          <t>Analyst
Target</t>
        </is>
      </c>
      <c r="Q4" s="81" t="inlineStr">
        <is>
          <t>Upside to
Target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82" t="inlineStr">
        <is>
          <t>PORTFOLIO TOTALS</t>
        </is>
      </c>
      <c r="H7" s="83">
        <f>SUM(H5:H5)</f>
        <v/>
      </c>
      <c r="I7" s="83">
        <f>SUM(I5:I5)</f>
        <v/>
      </c>
      <c r="J7" s="83">
        <f>SUM(J5:J5)</f>
        <v/>
      </c>
      <c r="K7" s="84">
        <f>IFERROR(J7/H7,"")</f>
        <v/>
      </c>
    </row>
    <row r="9" ht="22" customHeight="1">
      <c r="A9" s="85" t="inlineStr">
        <is>
          <t>📌  INVESTMENT THESIS &amp; RESEARCH NOTES</t>
        </is>
      </c>
    </row>
    <row r="10" ht="20" customHeight="1">
      <c r="A10" s="40" t="inlineStr">
        <is>
          <t xml:space="preserve">  ONDS  —  Ondas Holdings  |  Risk: Very High</t>
        </is>
      </c>
    </row>
    <row r="11" ht="409" customHeight="1">
      <c r="A11" s="41" t="inlineStr">
        <is>
          <t>$1.5T defense budget, $56B to drones/counter-drones via DAWG Program. Best chance to scale after March 2026 acquisitions &amp; partnerships. Very speculative.</t>
        </is>
      </c>
    </row>
  </sheetData>
  <mergeCells count="7">
    <mergeCell ref="A9:Q9"/>
    <mergeCell ref="A3:Q3"/>
    <mergeCell ref="A2:Q2"/>
    <mergeCell ref="A10:Q10"/>
    <mergeCell ref="A7:G7"/>
    <mergeCell ref="A11:Q11"/>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6"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10:33 PM</t>
        </is>
      </c>
    </row>
    <row r="4">
      <c r="A4" s="87" t="inlineStr">
        <is>
          <t>Ticker</t>
        </is>
      </c>
      <c r="B4" s="87" t="inlineStr">
        <is>
          <t>Company</t>
        </is>
      </c>
      <c r="C4" s="87" t="inlineStr">
        <is>
          <t>Focus / Niche</t>
        </is>
      </c>
      <c r="D4" s="87" t="inlineStr">
        <is>
          <t>Risk</t>
        </is>
      </c>
      <c r="E4" s="87" t="inlineStr">
        <is>
          <t>Current
Price</t>
        </is>
      </c>
      <c r="F4" s="87" t="inlineStr">
        <is>
          <t>Today's
+/- %</t>
        </is>
      </c>
      <c r="G4" s="87" t="inlineStr">
        <is>
          <t>Purchase
Price</t>
        </is>
      </c>
      <c r="H4" s="87" t="inlineStr">
        <is>
          <t>Shares
Owned</t>
        </is>
      </c>
      <c r="I4" s="87" t="inlineStr">
        <is>
          <t>Total
Cost</t>
        </is>
      </c>
      <c r="J4" s="87" t="inlineStr">
        <is>
          <t>Current
Value</t>
        </is>
      </c>
      <c r="K4" s="87" t="inlineStr">
        <is>
          <t>P&amp;L ($)</t>
        </is>
      </c>
      <c r="L4" s="87" t="inlineStr">
        <is>
          <t>P&amp;L (%)</t>
        </is>
      </c>
      <c r="M4" s="87" t="inlineStr">
        <is>
          <t>52W
High</t>
        </is>
      </c>
      <c r="N4" s="87" t="inlineStr">
        <is>
          <t>52W
Low</t>
        </is>
      </c>
      <c r="O4" s="87" t="inlineStr">
        <is>
          <t>% from
52W High</t>
        </is>
      </c>
      <c r="P4" s="87" t="inlineStr">
        <is>
          <t>Analyst
Target</t>
        </is>
      </c>
      <c r="Q4" s="87" t="inlineStr">
        <is>
          <t>Upside to
Target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88" t="inlineStr">
        <is>
          <t>PORTFOLIO TOTALS</t>
        </is>
      </c>
      <c r="H7" s="89">
        <f>SUM(H5:H5)</f>
        <v/>
      </c>
      <c r="I7" s="89">
        <f>SUM(I5:I5)</f>
        <v/>
      </c>
      <c r="J7" s="89">
        <f>SUM(J5:J5)</f>
        <v/>
      </c>
      <c r="K7" s="90">
        <f>IFERROR(J7/H7,"")</f>
        <v/>
      </c>
    </row>
    <row r="9" ht="22" customHeight="1">
      <c r="A9" s="91" t="inlineStr">
        <is>
          <t>📌  INVESTMENT THESIS &amp; RESEARCH NOTES</t>
        </is>
      </c>
    </row>
    <row r="10" ht="20" customHeight="1">
      <c r="A10" s="40" t="inlineStr">
        <is>
          <t xml:space="preserve">  RKLB  —  Rocket Lab USA  |  Risk: High</t>
        </is>
      </c>
    </row>
    <row r="11" ht="409" customHeight="1">
      <c r="A11" s="41" t="inlineStr">
        <is>
          <t>Huge future TAM over next decade+. Speculative but massive upside. Brilliant CEO. Near-term catalyst: SpaceX IPO in June.</t>
        </is>
      </c>
    </row>
  </sheetData>
  <mergeCells count="7">
    <mergeCell ref="A9:Q9"/>
    <mergeCell ref="A3:Q3"/>
    <mergeCell ref="A2:Q2"/>
    <mergeCell ref="A10:Q10"/>
    <mergeCell ref="A7:G7"/>
    <mergeCell ref="A11:Q11"/>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Q14"/>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2"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10:33 PM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NVO</t>
        </is>
      </c>
      <c r="B6" s="7" t="inlineStr">
        <is>
          <t>Novo Nordisk</t>
        </is>
      </c>
      <c r="C6" s="7" t="inlineStr">
        <is>
          <t>GLP-1 drugs, diabetes &amp; obesity</t>
        </is>
      </c>
      <c r="D6" s="6" t="inlineStr">
        <is>
          <t>Medium</t>
        </is>
      </c>
      <c r="E6" s="28" t="n">
        <v>45.76</v>
      </c>
      <c r="F6" s="29" t="n">
        <v>1.238934339675222</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94" t="inlineStr">
        <is>
          <t>PORTFOLIO TOTALS</t>
        </is>
      </c>
      <c r="H8" s="95">
        <f>SUM(H5:H6)</f>
        <v/>
      </c>
      <c r="I8" s="95">
        <f>SUM(I5:I6)</f>
        <v/>
      </c>
      <c r="J8" s="95">
        <f>SUM(J5:J6)</f>
        <v/>
      </c>
      <c r="K8" s="96">
        <f>IFERROR(J8/H8,"")</f>
        <v/>
      </c>
    </row>
    <row r="10" ht="22" customHeight="1">
      <c r="A10" s="97" t="inlineStr">
        <is>
          <t>📌  INVESTMENT THESIS &amp; RESEARCH NOTES</t>
        </is>
      </c>
    </row>
    <row r="11" ht="20" customHeight="1">
      <c r="A11" s="40" t="inlineStr">
        <is>
          <t xml:space="preserve">  RBRK  —  Rubrik Inc  |  Risk: Med-High</t>
        </is>
      </c>
    </row>
    <row r="12" ht="409" customHeight="1">
      <c r="A12" s="41" t="inlineStr">
        <is>
          <t>Long term investment research candidate.</t>
        </is>
      </c>
    </row>
    <row r="13" ht="20" customHeight="1">
      <c r="A13" s="40" t="inlineStr">
        <is>
          <t xml:space="preserve">  NVO  —  Novo Nordisk  |  Risk: Medium</t>
        </is>
      </c>
    </row>
    <row r="14" ht="409" customHeight="1">
      <c r="A14" s="42" t="inlineStr">
        <is>
          <t>Long term investment research candidate.</t>
        </is>
      </c>
    </row>
  </sheetData>
  <mergeCells count="9">
    <mergeCell ref="A14:Q14"/>
    <mergeCell ref="A3:Q3"/>
    <mergeCell ref="A8:G8"/>
    <mergeCell ref="A12:Q12"/>
    <mergeCell ref="A2:Q2"/>
    <mergeCell ref="A10:Q10"/>
    <mergeCell ref="A11:Q11"/>
    <mergeCell ref="A1:Q1"/>
    <mergeCell ref="A13:Q13"/>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98" t="inlineStr">
        <is>
          <t>📝 RESEARCH NOTES &amp; INVESTMENT THESIS</t>
        </is>
      </c>
    </row>
    <row r="2" ht="35" customHeight="1">
      <c r="A2" s="99" t="inlineStr">
        <is>
          <t>401k To-Do</t>
        </is>
      </c>
      <c r="B2" s="23" t="inlineStr">
        <is>
          <t>• Transfer 401k from Accrue (Now Vestwell) → Charles Schwab
• Transfer 401k from Vanguard (1-800-523-1188) → Charles Schwab</t>
        </is>
      </c>
    </row>
    <row r="3" ht="20" customHeight="1">
      <c r="A3" s="100" t="inlineStr">
        <is>
          <t>Savings Account</t>
        </is>
      </c>
      <c r="B3" s="23" t="inlineStr">
        <is>
          <t>• Open Savings Account with Capital One (for holding taxes)</t>
        </is>
      </c>
    </row>
    <row r="4" ht="20" customHeight="1">
      <c r="A4" s="99" t="inlineStr">
        <is>
          <t>Research Tools</t>
        </is>
      </c>
      <c r="B4" s="23" t="inlineStr">
        <is>
          <t>• Learn how to use 'Unusual Whales' website — watch YouTube tutorials</t>
        </is>
      </c>
    </row>
    <row r="5" ht="20" customHeight="1">
      <c r="A5" s="100" t="inlineStr">
        <is>
          <t>Quantum Thesis</t>
        </is>
      </c>
      <c r="B5" s="23" t="inlineStr">
        <is>
          <t>Next run will be of quantum. Buy IONQ, RGTI, and QBTS. Easy 10× within 2 years.</t>
        </is>
      </c>
    </row>
    <row r="6" ht="20" customHeight="1">
      <c r="A6" s="99"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00"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99"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00"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99"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00"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99" t="inlineStr">
        <is>
          <t>AEVA</t>
        </is>
      </c>
      <c r="B12" s="23" t="inlineStr">
        <is>
          <t>Aeva Technologies — Lidar + sensing tech. Autonomous systems + robotics long tail. Still early commercialization phase. Pure asymmetric bet: low probability, high upside.</t>
        </is>
      </c>
    </row>
    <row r="13" ht="20" customHeight="1">
      <c r="A13" s="100"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99" t="inlineStr">
        <is>
          <t>LITE</t>
        </is>
      </c>
      <c r="B14" s="23" t="inlineStr">
        <is>
          <t>Lumentum — King of Photonics. Could moonshot. Critical infrastructure for AI data movement.</t>
        </is>
      </c>
    </row>
    <row r="15" ht="20" customHeight="1">
      <c r="A15" s="100" t="inlineStr">
        <is>
          <t>OKLO</t>
        </is>
      </c>
      <c r="B15" s="23" t="inlineStr">
        <is>
          <t>Nuclear SMRs and Nuclear Fuel Waste. Huge moonshot potential but big regulatory and execution risk. Worth a small percentage of portfolio because of its massive potential.</t>
        </is>
      </c>
    </row>
    <row r="16" ht="20" customHeight="1">
      <c r="A16" s="99"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00" t="inlineStr">
        <is>
          <t>PLTR</t>
        </is>
      </c>
      <c r="B17" s="23" t="inlineStr">
        <is>
          <t>Palantir — AI Software. So integral to the entire government AI stack and is not going anywhere soon. Outlier outside of the data center trade.</t>
        </is>
      </c>
    </row>
    <row r="18" ht="20" customHeight="1">
      <c r="A18" s="99"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00"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99"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2026-05-06T22:33:23Z</dcterms:created>
  <dcterms:modified xsi:type="dcterms:W3CDTF">2026-05-06T22:33:23Z</dcterms:modified>
</cp:coreProperties>
</file>