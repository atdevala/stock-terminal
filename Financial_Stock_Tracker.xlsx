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 name="⚛️ Quantum Computing1" sheetId="13" state="visible" r:id="rId13"/>
    <sheet name="🖥️ Semiconductors &amp; Compute1" sheetId="14" state="visible" r:id="rId14"/>
    <sheet name="⚙️ AI Picks &amp; Shovels1" sheetId="15" state="visible" r:id="rId15"/>
    <sheet name="💡 Photonics &amp; Optics1" sheetId="16" state="visible" r:id="rId16"/>
    <sheet name="🏗️ DC Builders &amp; Cooling1" sheetId="17" state="visible" r:id="rId17"/>
    <sheet name="⚡ Power &amp; Energy1" sheetId="18" state="visible" r:id="rId18"/>
    <sheet name="☁️ Neoclouds &amp; AI Software1" sheetId="19" state="visible" r:id="rId19"/>
    <sheet name="🛡️ Defense &amp; Drones1" sheetId="20" state="visible" r:id="rId20"/>
    <sheet name="🚀 Space Economy1" sheetId="21" state="visible" r:id="rId21"/>
    <sheet name="🔭 Long Term Watchlist1" sheetId="22" state="visible" r:id="rId22"/>
  </sheets>
  <definedNames/>
  <calcPr calcId="124519" fullCalcOnLoad="1"/>
</workbook>
</file>

<file path=xl/styles.xml><?xml version="1.0" encoding="utf-8"?>
<styleSheet xmlns="http://schemas.openxmlformats.org/spreadsheetml/2006/main">
  <numFmts count="1">
    <numFmt numFmtId="164" formatCode="&quot;$&quot;#,##0.00"/>
  </numFmts>
  <fonts count="23">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0070C0"/>
        <bgColor rgb="000070C0"/>
      </patternFill>
    </fill>
    <fill>
      <patternFill patternType="solid">
        <fgColor rgb="00C55A11"/>
        <bgColor rgb="00C55A11"/>
      </patternFill>
    </fill>
    <fill>
      <patternFill patternType="solid">
        <fgColor rgb="0000B0F0"/>
        <bgColor rgb="0000B0F0"/>
      </patternFill>
    </fill>
    <fill>
      <patternFill patternType="solid">
        <fgColor rgb="00375623"/>
        <bgColor rgb="00375623"/>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22"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19" fillId="11" borderId="0" applyAlignment="1" pivotButton="0" quotePrefix="0" xfId="0">
      <alignment horizontal="center" vertical="center" wrapText="1"/>
    </xf>
    <xf numFmtId="0" fontId="21" fillId="11" borderId="1" applyAlignment="1" pivotButton="0" quotePrefix="0" xfId="0">
      <alignment horizontal="center" vertical="center" wrapText="1"/>
    </xf>
    <xf numFmtId="0" fontId="4" fillId="11" borderId="0" applyAlignment="1" pivotButton="0" quotePrefix="0" xfId="0">
      <alignment horizontal="center" vertical="center" wrapText="1"/>
    </xf>
    <xf numFmtId="164" fontId="4" fillId="11" borderId="1" applyAlignment="1" pivotButton="0" quotePrefix="0" xfId="0">
      <alignment horizontal="center" vertical="center" wrapText="1"/>
    </xf>
    <xf numFmtId="10" fontId="4" fillId="11" borderId="1" applyAlignment="1" pivotButton="0" quotePrefix="0" xfId="0">
      <alignment horizontal="center"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24" t="inlineStr">
        <is>
          <t>📝 RESEARCH NOTES &amp; INVESTMENT THESIS</t>
        </is>
      </c>
    </row>
    <row r="2" ht="35" customHeight="1">
      <c r="A2" s="25" t="inlineStr">
        <is>
          <t>401k To-Do</t>
        </is>
      </c>
      <c r="B2" s="23" t="inlineStr">
        <is>
          <t>• Transfer 401k from Accrue (Now Vestwell) → Charles Schwab
• Transfer 401k from Vanguard (1-800-523-1188) → Charles Schwab</t>
        </is>
      </c>
    </row>
    <row r="3" ht="20" customHeight="1">
      <c r="A3" s="26" t="inlineStr">
        <is>
          <t>Savings Account</t>
        </is>
      </c>
      <c r="B3" s="23" t="inlineStr">
        <is>
          <t>• Open Savings Account with Capital One (for holding taxes)</t>
        </is>
      </c>
    </row>
    <row r="4" ht="20" customHeight="1">
      <c r="A4" s="25" t="inlineStr">
        <is>
          <t>Research Tools</t>
        </is>
      </c>
      <c r="B4" s="23" t="inlineStr">
        <is>
          <t>• Learn how to use 'Unusual Whales' website — watch YouTube tutorials</t>
        </is>
      </c>
    </row>
    <row r="5" ht="20" customHeight="1">
      <c r="A5" s="26" t="inlineStr">
        <is>
          <t>Quantum Thesis</t>
        </is>
      </c>
      <c r="B5" s="23" t="inlineStr">
        <is>
          <t>Next run will be of quantum. Buy IONQ, RGTI, and QBTS. Easy 10× within 2 years.</t>
        </is>
      </c>
    </row>
    <row r="6" ht="20" customHeight="1">
      <c r="A6" s="25"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26"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25"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26"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25"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26"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25" t="inlineStr">
        <is>
          <t>AEVA</t>
        </is>
      </c>
      <c r="B12" s="23" t="inlineStr">
        <is>
          <t>Aeva Technologies — Lidar + sensing tech. Autonomous systems + robotics long tail. Still early commercialization phase. Pure asymmetric bet: low probability, high upside.</t>
        </is>
      </c>
    </row>
    <row r="13" ht="20" customHeight="1">
      <c r="A13" s="26"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25" t="inlineStr">
        <is>
          <t>LITE</t>
        </is>
      </c>
      <c r="B14" s="23" t="inlineStr">
        <is>
          <t>Lumentum — King of Photonics. Could moonshot. Critical infrastructure for AI data movement.</t>
        </is>
      </c>
    </row>
    <row r="15" ht="20" customHeight="1">
      <c r="A15" s="26" t="inlineStr">
        <is>
          <t>OKLO</t>
        </is>
      </c>
      <c r="B15" s="23" t="inlineStr">
        <is>
          <t>Nuclear SMRs and Nuclear Fuel Waste. Huge moonshot potential but big regulatory and execution risk. Worth a small percentage of portfolio because of its massive potential.</t>
        </is>
      </c>
    </row>
    <row r="16" ht="20" customHeight="1">
      <c r="A16" s="25"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26" t="inlineStr">
        <is>
          <t>PLTR</t>
        </is>
      </c>
      <c r="B17" s="23" t="inlineStr">
        <is>
          <t>Palantir — AI Software. So integral to the entire government AI stack and is not going anywhere soon. Outlier outside of the data center trade.</t>
        </is>
      </c>
    </row>
    <row r="18" ht="20" customHeight="1">
      <c r="A18" s="25"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26"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25"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Q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27" t="inlineStr">
        <is>
          <t>⚛️ Quantum Computing</t>
        </is>
      </c>
    </row>
    <row r="2" ht="18" customHeight="1">
      <c r="A2" s="28" t="inlineStr">
        <is>
          <t>High-risk quantum plays — potential 10× returns within 2 years</t>
        </is>
      </c>
    </row>
    <row r="3" ht="32" customHeight="1">
      <c r="A3" s="3" t="inlineStr">
        <is>
          <t>🟡 Yellow cells = your inputs  |  All other cells auto-calculate</t>
        </is>
      </c>
    </row>
    <row r="4">
      <c r="A4" s="29" t="inlineStr">
        <is>
          <t>Ticker</t>
        </is>
      </c>
      <c r="B4" s="29" t="inlineStr">
        <is>
          <t>Company</t>
        </is>
      </c>
      <c r="C4" s="29" t="inlineStr">
        <is>
          <t>Focus / Niche</t>
        </is>
      </c>
      <c r="D4" s="29" t="inlineStr">
        <is>
          <t>Risk</t>
        </is>
      </c>
      <c r="E4" s="29" t="inlineStr">
        <is>
          <t>Current
Price</t>
        </is>
      </c>
      <c r="F4" s="29" t="inlineStr">
        <is>
          <t>Purchase
Price</t>
        </is>
      </c>
      <c r="G4" s="29" t="inlineStr">
        <is>
          <t>Shares
Owned</t>
        </is>
      </c>
      <c r="H4" s="29" t="inlineStr">
        <is>
          <t>Total
Cost</t>
        </is>
      </c>
      <c r="I4" s="29" t="inlineStr">
        <is>
          <t>Current
Value</t>
        </is>
      </c>
      <c r="J4" s="29" t="inlineStr">
        <is>
          <t>P&amp;L ($)</t>
        </is>
      </c>
      <c r="K4" s="29" t="inlineStr">
        <is>
          <t>P&amp;L (%)</t>
        </is>
      </c>
      <c r="L4" s="29" t="inlineStr">
        <is>
          <t>52W
High</t>
        </is>
      </c>
      <c r="M4" s="29" t="inlineStr">
        <is>
          <t>52W
Low</t>
        </is>
      </c>
      <c r="N4" s="29" t="inlineStr">
        <is>
          <t>% from
52W High</t>
        </is>
      </c>
      <c r="O4" s="29" t="inlineStr">
        <is>
          <t>Analyst
Target</t>
        </is>
      </c>
      <c r="P4" s="29" t="inlineStr">
        <is>
          <t>Upside to
Target</t>
        </is>
      </c>
      <c r="Q4" s="29" t="inlineStr">
        <is>
          <t>Investment Thesis / Notes</t>
        </is>
      </c>
    </row>
    <row r="5">
      <c r="A5" s="30" t="inlineStr">
        <is>
          <t>IONQ</t>
        </is>
      </c>
      <c r="B5" s="10" t="inlineStr">
        <is>
          <t>IonQ Inc</t>
        </is>
      </c>
      <c r="C5" s="10" t="inlineStr">
        <is>
          <t>Quantum computing hardware &amp; software</t>
        </is>
      </c>
      <c r="D5" s="9" t="inlineStr">
        <is>
          <t>Very 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Next quantum run candidate. Easy 10× within 2 years potential.</t>
        </is>
      </c>
    </row>
    <row r="6">
      <c r="A6" s="35" t="inlineStr">
        <is>
          <t>RGTI</t>
        </is>
      </c>
      <c r="B6" s="7" t="inlineStr">
        <is>
          <t>Rigetti Computing</t>
        </is>
      </c>
      <c r="C6" s="7" t="inlineStr">
        <is>
          <t>Quantum computing chips &amp; systems</t>
        </is>
      </c>
      <c r="D6" s="6" t="inlineStr">
        <is>
          <t>Very High</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Next quantum run candidate. Easy 10× within 2 years potential.</t>
        </is>
      </c>
    </row>
    <row r="7">
      <c r="A7" s="30" t="inlineStr">
        <is>
          <t>QBTS</t>
        </is>
      </c>
      <c r="B7" s="10" t="inlineStr">
        <is>
          <t>D-Wave Quantum</t>
        </is>
      </c>
      <c r="C7" s="10" t="inlineStr">
        <is>
          <t>Quantum annealing systems</t>
        </is>
      </c>
      <c r="D7" s="9" t="inlineStr">
        <is>
          <t>Very High</t>
        </is>
      </c>
      <c r="E7" s="31" t="n">
        <v>0</v>
      </c>
      <c r="F7" s="31" t="n">
        <v>0</v>
      </c>
      <c r="G7" s="32" t="n">
        <v>0</v>
      </c>
      <c r="H7" s="33">
        <f>F7*G7</f>
        <v/>
      </c>
      <c r="I7" s="33">
        <f>E7*G7</f>
        <v/>
      </c>
      <c r="J7" s="33">
        <f>I7-H7</f>
        <v/>
      </c>
      <c r="K7" s="34">
        <f>IFERROR(J7/H7,"")</f>
        <v/>
      </c>
      <c r="L7" s="31" t="n">
        <v>0</v>
      </c>
      <c r="M7" s="31" t="n">
        <v>0</v>
      </c>
      <c r="N7" s="34">
        <f>IFERROR(E7/L7-1,"")</f>
        <v/>
      </c>
      <c r="O7" s="31" t="n">
        <v>0</v>
      </c>
      <c r="P7" s="34">
        <f>IFERROR(O7/E7-1,"")</f>
        <v/>
      </c>
      <c r="Q7" s="10" t="inlineStr">
        <is>
          <t>Next quantum run candidate. Easy 10× within 2 years potential.</t>
        </is>
      </c>
    </row>
    <row r="9" ht="20" customHeight="1">
      <c r="A9" s="38" t="inlineStr">
        <is>
          <t>PORTFOLIO TOTALS</t>
        </is>
      </c>
      <c r="H9" s="39">
        <f>SUM(H5:H7)</f>
        <v/>
      </c>
      <c r="I9" s="39">
        <f>SUM(I5:I7)</f>
        <v/>
      </c>
      <c r="J9" s="39">
        <f>SUM(J5:J7)</f>
        <v/>
      </c>
      <c r="K9" s="40">
        <f>IFERROR(J9/H9,"")</f>
        <v/>
      </c>
    </row>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A1:Q12"/>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41" t="inlineStr">
        <is>
          <t>🖥️ Semiconductors &amp; Compute</t>
        </is>
      </c>
    </row>
    <row r="2" ht="18" customHeight="1">
      <c r="A2" s="28" t="inlineStr">
        <is>
          <t>Core semiconductor &amp; compute names — stability + steady compounders</t>
        </is>
      </c>
    </row>
    <row r="3" ht="32" customHeight="1">
      <c r="A3" s="3" t="inlineStr">
        <is>
          <t>🟡 Yellow cells = your inputs  |  All other cells auto-calculate</t>
        </is>
      </c>
    </row>
    <row r="4">
      <c r="A4" s="42" t="inlineStr">
        <is>
          <t>Ticker</t>
        </is>
      </c>
      <c r="B4" s="42" t="inlineStr">
        <is>
          <t>Company</t>
        </is>
      </c>
      <c r="C4" s="42" t="inlineStr">
        <is>
          <t>Focus / Niche</t>
        </is>
      </c>
      <c r="D4" s="42" t="inlineStr">
        <is>
          <t>Risk</t>
        </is>
      </c>
      <c r="E4" s="42" t="inlineStr">
        <is>
          <t>Current
Price</t>
        </is>
      </c>
      <c r="F4" s="42" t="inlineStr">
        <is>
          <t>Purchase
Price</t>
        </is>
      </c>
      <c r="G4" s="42" t="inlineStr">
        <is>
          <t>Shares
Owned</t>
        </is>
      </c>
      <c r="H4" s="42" t="inlineStr">
        <is>
          <t>Total
Cost</t>
        </is>
      </c>
      <c r="I4" s="42" t="inlineStr">
        <is>
          <t>Current
Value</t>
        </is>
      </c>
      <c r="J4" s="42" t="inlineStr">
        <is>
          <t>P&amp;L ($)</t>
        </is>
      </c>
      <c r="K4" s="42" t="inlineStr">
        <is>
          <t>P&amp;L (%)</t>
        </is>
      </c>
      <c r="L4" s="42" t="inlineStr">
        <is>
          <t>52W
High</t>
        </is>
      </c>
      <c r="M4" s="42" t="inlineStr">
        <is>
          <t>52W
Low</t>
        </is>
      </c>
      <c r="N4" s="42" t="inlineStr">
        <is>
          <t>% from
52W High</t>
        </is>
      </c>
      <c r="O4" s="42" t="inlineStr">
        <is>
          <t>Analyst
Target</t>
        </is>
      </c>
      <c r="P4" s="42" t="inlineStr">
        <is>
          <t>Upside to
Target</t>
        </is>
      </c>
      <c r="Q4" s="42" t="inlineStr">
        <is>
          <t>Investment Thesis / Notes</t>
        </is>
      </c>
    </row>
    <row r="5">
      <c r="A5" s="30" t="inlineStr">
        <is>
          <t>NVDA</t>
        </is>
      </c>
      <c r="B5" s="10" t="inlineStr">
        <is>
          <t>NVIDIA Corp</t>
        </is>
      </c>
      <c r="C5" s="10" t="inlineStr">
        <is>
          <t>GPUs, AI compute</t>
        </is>
      </c>
      <c r="D5" s="9" t="inlineStr">
        <is>
          <t>Medium</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The AI compute king. Stability and steady compounder.</t>
        </is>
      </c>
    </row>
    <row r="6">
      <c r="A6" s="35" t="inlineStr">
        <is>
          <t>AVGO</t>
        </is>
      </c>
      <c r="B6" s="7" t="inlineStr">
        <is>
          <t>Broadcom Inc</t>
        </is>
      </c>
      <c r="C6" s="7" t="inlineStr">
        <is>
          <t>Semiconductors, networking</t>
        </is>
      </c>
      <c r="D6" s="6" t="inlineStr">
        <is>
          <t>Medium</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Stability and steady compounder.</t>
        </is>
      </c>
    </row>
    <row r="7">
      <c r="A7" s="30" t="inlineStr">
        <is>
          <t>LRCX</t>
        </is>
      </c>
      <c r="B7" s="10" t="inlineStr">
        <is>
          <t>Lam Research</t>
        </is>
      </c>
      <c r="C7" s="10" t="inlineStr">
        <is>
          <t>Semiconductor equipment, DRAM</t>
        </is>
      </c>
      <c r="D7" s="9" t="inlineStr">
        <is>
          <t>Medium</t>
        </is>
      </c>
      <c r="E7" s="31" t="n">
        <v>0</v>
      </c>
      <c r="F7" s="31" t="n">
        <v>0</v>
      </c>
      <c r="G7" s="32" t="n">
        <v>0</v>
      </c>
      <c r="H7" s="33">
        <f>F7*G7</f>
        <v/>
      </c>
      <c r="I7" s="33">
        <f>E7*G7</f>
        <v/>
      </c>
      <c r="J7" s="33">
        <f>I7-H7</f>
        <v/>
      </c>
      <c r="K7" s="34">
        <f>IFERROR(J7/H7,"")</f>
        <v/>
      </c>
      <c r="L7" s="31" t="n">
        <v>0</v>
      </c>
      <c r="M7" s="31" t="n">
        <v>0</v>
      </c>
      <c r="N7" s="34">
        <f>IFERROR(E7/L7-1,"")</f>
        <v/>
      </c>
      <c r="O7" s="31" t="n">
        <v>0</v>
      </c>
      <c r="P7" s="34">
        <f>IFERROR(O7/E7-1,"")</f>
        <v/>
      </c>
      <c r="Q7" s="10" t="inlineStr">
        <is>
          <t>Stability and steady compounder. DRAM equipment leader.</t>
        </is>
      </c>
    </row>
    <row r="8">
      <c r="A8" s="35" t="inlineStr">
        <is>
          <t>AMD</t>
        </is>
      </c>
      <c r="B8" s="7" t="inlineStr">
        <is>
          <t>Advanced Micro Devices</t>
        </is>
      </c>
      <c r="C8" s="7" t="inlineStr">
        <is>
          <t>CPUs, GPUs, AI chips</t>
        </is>
      </c>
      <c r="D8" s="6" t="inlineStr">
        <is>
          <t>Medium</t>
        </is>
      </c>
      <c r="E8" s="31" t="n">
        <v>0</v>
      </c>
      <c r="F8" s="31" t="n">
        <v>0</v>
      </c>
      <c r="G8" s="32" t="n">
        <v>0</v>
      </c>
      <c r="H8" s="36">
        <f>F8*G8</f>
        <v/>
      </c>
      <c r="I8" s="36">
        <f>E8*G8</f>
        <v/>
      </c>
      <c r="J8" s="36">
        <f>I8-H8</f>
        <v/>
      </c>
      <c r="K8" s="37">
        <f>IFERROR(J8/H8,"")</f>
        <v/>
      </c>
      <c r="L8" s="31" t="n">
        <v>0</v>
      </c>
      <c r="M8" s="31" t="n">
        <v>0</v>
      </c>
      <c r="N8" s="37">
        <f>IFERROR(E8/L8-1,"")</f>
        <v/>
      </c>
      <c r="O8" s="31" t="n">
        <v>0</v>
      </c>
      <c r="P8" s="37">
        <f>IFERROR(O8/E8-1,"")</f>
        <v/>
      </c>
      <c r="Q8" s="7" t="inlineStr">
        <is>
          <t>CPU maker deep in the AI infrastructure stack.</t>
        </is>
      </c>
    </row>
    <row r="9">
      <c r="A9" s="30" t="inlineStr">
        <is>
          <t>INTC</t>
        </is>
      </c>
      <c r="B9" s="10" t="inlineStr">
        <is>
          <t>Intel Corp</t>
        </is>
      </c>
      <c r="C9" s="10" t="inlineStr">
        <is>
          <t>CPUs, AI accelerators</t>
        </is>
      </c>
      <c r="D9" s="9" t="inlineStr">
        <is>
          <t>Med-High</t>
        </is>
      </c>
      <c r="E9" s="31" t="n">
        <v>0</v>
      </c>
      <c r="F9" s="31" t="n">
        <v>0</v>
      </c>
      <c r="G9" s="32" t="n">
        <v>0</v>
      </c>
      <c r="H9" s="33">
        <f>F9*G9</f>
        <v/>
      </c>
      <c r="I9" s="33">
        <f>E9*G9</f>
        <v/>
      </c>
      <c r="J9" s="33">
        <f>I9-H9</f>
        <v/>
      </c>
      <c r="K9" s="34">
        <f>IFERROR(J9/H9,"")</f>
        <v/>
      </c>
      <c r="L9" s="31" t="n">
        <v>0</v>
      </c>
      <c r="M9" s="31" t="n">
        <v>0</v>
      </c>
      <c r="N9" s="34">
        <f>IFERROR(E9/L9-1,"")</f>
        <v/>
      </c>
      <c r="O9" s="31" t="n">
        <v>0</v>
      </c>
      <c r="P9" s="34">
        <f>IFERROR(O9/E9-1,"")</f>
        <v/>
      </c>
      <c r="Q9" s="10" t="inlineStr">
        <is>
          <t>CPU maker in AI infrastructure stack. Turnaround story.</t>
        </is>
      </c>
    </row>
    <row r="10">
      <c r="A10" s="35" t="inlineStr">
        <is>
          <t>ARM</t>
        </is>
      </c>
      <c r="B10" s="7" t="inlineStr">
        <is>
          <t>Arm Holdings</t>
        </is>
      </c>
      <c r="C10" s="7" t="inlineStr">
        <is>
          <t>Chip architecture licensing</t>
        </is>
      </c>
      <c r="D10" s="6" t="inlineStr">
        <is>
          <t>Medium</t>
        </is>
      </c>
      <c r="E10" s="31" t="n">
        <v>0</v>
      </c>
      <c r="F10" s="31" t="n">
        <v>0</v>
      </c>
      <c r="G10" s="32" t="n">
        <v>0</v>
      </c>
      <c r="H10" s="36">
        <f>F10*G10</f>
        <v/>
      </c>
      <c r="I10" s="36">
        <f>E10*G10</f>
        <v/>
      </c>
      <c r="J10" s="36">
        <f>I10-H10</f>
        <v/>
      </c>
      <c r="K10" s="37">
        <f>IFERROR(J10/H10,"")</f>
        <v/>
      </c>
      <c r="L10" s="31" t="n">
        <v>0</v>
      </c>
      <c r="M10" s="31" t="n">
        <v>0</v>
      </c>
      <c r="N10" s="37">
        <f>IFERROR(E10/L10-1,"")</f>
        <v/>
      </c>
      <c r="O10" s="31" t="n">
        <v>0</v>
      </c>
      <c r="P10" s="37">
        <f>IFERROR(O10/E10-1,"")</f>
        <v/>
      </c>
      <c r="Q10" s="7" t="inlineStr">
        <is>
          <t>Architecture behind most AI edge chips. Royalty model.</t>
        </is>
      </c>
    </row>
    <row r="12" ht="20" customHeight="1">
      <c r="A12" s="43" t="inlineStr">
        <is>
          <t>PORTFOLIO TOTALS</t>
        </is>
      </c>
      <c r="H12" s="44">
        <f>SUM(H5:H10)</f>
        <v/>
      </c>
      <c r="I12" s="44">
        <f>SUM(I5:I10)</f>
        <v/>
      </c>
      <c r="J12" s="44">
        <f>SUM(J5:J10)</f>
        <v/>
      </c>
      <c r="K12" s="45">
        <f>IFERROR(J12/H12,"")</f>
        <v/>
      </c>
    </row>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46" t="inlineStr">
        <is>
          <t>⚙️ AI Picks &amp; Shovels</t>
        </is>
      </c>
    </row>
    <row r="2" ht="18" customHeight="1">
      <c r="A2" s="28" t="inlineStr">
        <is>
          <t>Smaller-cap NVDA-adjacent setups — high risk, asymmetric upside</t>
        </is>
      </c>
    </row>
    <row r="3" ht="32" customHeight="1">
      <c r="A3" s="3" t="inlineStr">
        <is>
          <t>🟡 Yellow cells = your inputs  |  All other cells auto-calculate</t>
        </is>
      </c>
    </row>
    <row r="4">
      <c r="A4" s="47" t="inlineStr">
        <is>
          <t>Ticker</t>
        </is>
      </c>
      <c r="B4" s="47" t="inlineStr">
        <is>
          <t>Company</t>
        </is>
      </c>
      <c r="C4" s="47" t="inlineStr">
        <is>
          <t>Focus / Niche</t>
        </is>
      </c>
      <c r="D4" s="47" t="inlineStr">
        <is>
          <t>Risk</t>
        </is>
      </c>
      <c r="E4" s="47" t="inlineStr">
        <is>
          <t>Current
Price</t>
        </is>
      </c>
      <c r="F4" s="47" t="inlineStr">
        <is>
          <t>Purchase
Price</t>
        </is>
      </c>
      <c r="G4" s="47" t="inlineStr">
        <is>
          <t>Shares
Owned</t>
        </is>
      </c>
      <c r="H4" s="47" t="inlineStr">
        <is>
          <t>Total
Cost</t>
        </is>
      </c>
      <c r="I4" s="47" t="inlineStr">
        <is>
          <t>Current
Value</t>
        </is>
      </c>
      <c r="J4" s="47" t="inlineStr">
        <is>
          <t>P&amp;L ($)</t>
        </is>
      </c>
      <c r="K4" s="47" t="inlineStr">
        <is>
          <t>P&amp;L (%)</t>
        </is>
      </c>
      <c r="L4" s="47" t="inlineStr">
        <is>
          <t>52W
High</t>
        </is>
      </c>
      <c r="M4" s="47" t="inlineStr">
        <is>
          <t>52W
Low</t>
        </is>
      </c>
      <c r="N4" s="47" t="inlineStr">
        <is>
          <t>% from
52W High</t>
        </is>
      </c>
      <c r="O4" s="47" t="inlineStr">
        <is>
          <t>Analyst
Target</t>
        </is>
      </c>
      <c r="P4" s="47" t="inlineStr">
        <is>
          <t>Upside to
Target</t>
        </is>
      </c>
      <c r="Q4" s="47" t="inlineStr">
        <is>
          <t>Investment Thesis / Notes</t>
        </is>
      </c>
    </row>
    <row r="5">
      <c r="A5" s="30" t="inlineStr">
        <is>
          <t>NVTS</t>
        </is>
      </c>
      <c r="B5" s="10" t="inlineStr">
        <is>
          <t>Navitas Semiconductor</t>
        </is>
      </c>
      <c r="C5" s="10" t="inlineStr">
        <is>
          <t>GaN power chips for AI data centers</t>
        </is>
      </c>
      <c r="D5" s="9" t="inlineStr">
        <is>
          <t>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AI data centers need radically more efficient power delivery. Picks-and-shovels for compute growth.</t>
        </is>
      </c>
    </row>
    <row r="6">
      <c r="A6" s="35" t="inlineStr">
        <is>
          <t>AEHR</t>
        </is>
      </c>
      <c r="B6" s="7" t="inlineStr">
        <is>
          <t>AEHR Test Systems</t>
        </is>
      </c>
      <c r="C6" s="7" t="inlineStr">
        <is>
          <t>Semiconductor burn-in &amp; test equipment</t>
        </is>
      </c>
      <c r="D6" s="6" t="inlineStr">
        <is>
          <t>High</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Classic shovels in a gold rush. More AI chips = more testing bottleneck demand.</t>
        </is>
      </c>
    </row>
    <row r="7">
      <c r="A7" s="30" t="inlineStr">
        <is>
          <t>CRDO</t>
        </is>
      </c>
      <c r="B7" s="10" t="inlineStr">
        <is>
          <t>Credo Technology</t>
        </is>
      </c>
      <c r="C7" s="10" t="inlineStr">
        <is>
          <t>High-speed connectivity / SerDes for AI DCs</t>
        </is>
      </c>
      <c r="D7" s="9" t="inlineStr">
        <is>
          <t>High</t>
        </is>
      </c>
      <c r="E7" s="31" t="n">
        <v>0</v>
      </c>
      <c r="F7" s="31" t="n">
        <v>0</v>
      </c>
      <c r="G7" s="32" t="n">
        <v>0</v>
      </c>
      <c r="H7" s="33">
        <f>F7*G7</f>
        <v/>
      </c>
      <c r="I7" s="33">
        <f>E7*G7</f>
        <v/>
      </c>
      <c r="J7" s="33">
        <f>I7-H7</f>
        <v/>
      </c>
      <c r="K7" s="34">
        <f>IFERROR(J7/H7,"")</f>
        <v/>
      </c>
      <c r="L7" s="31" t="n">
        <v>0</v>
      </c>
      <c r="M7" s="31" t="n">
        <v>0</v>
      </c>
      <c r="N7" s="34">
        <f>IFERROR(E7/L7-1,"")</f>
        <v/>
      </c>
      <c r="O7" s="31" t="n">
        <v>0</v>
      </c>
      <c r="P7" s="34">
        <f>IFERROR(O7/E7-1,"")</f>
        <v/>
      </c>
      <c r="Q7" s="10" t="inlineStr">
        <is>
          <t>GPUs don't matter if data can't move between them. Cleanest AI infrastructure picks-and-shovels name.</t>
        </is>
      </c>
    </row>
    <row r="8">
      <c r="A8" s="35" t="inlineStr">
        <is>
          <t>ALGM</t>
        </is>
      </c>
      <c r="B8" s="7" t="inlineStr">
        <is>
          <t>Allegro MicroSystems</t>
        </is>
      </c>
      <c r="C8" s="7" t="inlineStr">
        <is>
          <t>Power &amp; sensing semiconductors</t>
        </is>
      </c>
      <c r="D8" s="6" t="inlineStr">
        <is>
          <t>Med-High</t>
        </is>
      </c>
      <c r="E8" s="31" t="n">
        <v>0</v>
      </c>
      <c r="F8" s="31" t="n">
        <v>0</v>
      </c>
      <c r="G8" s="32" t="n">
        <v>0</v>
      </c>
      <c r="H8" s="36">
        <f>F8*G8</f>
        <v/>
      </c>
      <c r="I8" s="36">
        <f>E8*G8</f>
        <v/>
      </c>
      <c r="J8" s="36">
        <f>I8-H8</f>
        <v/>
      </c>
      <c r="K8" s="37">
        <f>IFERROR(J8/H8,"")</f>
        <v/>
      </c>
      <c r="L8" s="31" t="n">
        <v>0</v>
      </c>
      <c r="M8" s="31" t="n">
        <v>0</v>
      </c>
      <c r="N8" s="37">
        <f>IFERROR(E8/L8-1,"")</f>
        <v/>
      </c>
      <c r="O8" s="31" t="n">
        <v>0</v>
      </c>
      <c r="P8" s="37">
        <f>IFERROR(O8/E8-1,"")</f>
        <v/>
      </c>
      <c r="Q8" s="7" t="inlineStr">
        <is>
          <t>Electrification + AI hardware power efficiency. Quiet compounder, early in AI rerating narrative.</t>
        </is>
      </c>
    </row>
    <row r="9">
      <c r="A9" s="30" t="inlineStr">
        <is>
          <t>HIMX</t>
        </is>
      </c>
      <c r="B9" s="10" t="inlineStr">
        <is>
          <t>Himax Technologies</t>
        </is>
      </c>
      <c r="C9" s="10" t="inlineStr">
        <is>
          <t>Display drivers + AR/AI vision chips</t>
        </is>
      </c>
      <c r="D9" s="9" t="inlineStr">
        <is>
          <t>High</t>
        </is>
      </c>
      <c r="E9" s="31" t="n">
        <v>0</v>
      </c>
      <c r="F9" s="31" t="n">
        <v>0</v>
      </c>
      <c r="G9" s="32" t="n">
        <v>0</v>
      </c>
      <c r="H9" s="33">
        <f>F9*G9</f>
        <v/>
      </c>
      <c r="I9" s="33">
        <f>E9*G9</f>
        <v/>
      </c>
      <c r="J9" s="33">
        <f>I9-H9</f>
        <v/>
      </c>
      <c r="K9" s="34">
        <f>IFERROR(J9/H9,"")</f>
        <v/>
      </c>
      <c r="L9" s="31" t="n">
        <v>0</v>
      </c>
      <c r="M9" s="31" t="n">
        <v>0</v>
      </c>
      <c r="N9" s="34">
        <f>IFERROR(E9/L9-1,"")</f>
        <v/>
      </c>
      <c r="O9" s="31" t="n">
        <v>0</v>
      </c>
      <c r="P9" s="34">
        <f>IFERROR(O9/E9-1,"")</f>
        <v/>
      </c>
      <c r="Q9" s="10" t="inlineStr">
        <is>
          <t>Exposure to AI edge devices + optics. Higher volatility, historically rerates fast on cycles.</t>
        </is>
      </c>
    </row>
    <row r="10">
      <c r="A10" s="35" t="inlineStr">
        <is>
          <t>MTSI</t>
        </is>
      </c>
      <c r="B10" s="7" t="inlineStr">
        <is>
          <t>MACOM Technology</t>
        </is>
      </c>
      <c r="C10" s="7" t="inlineStr">
        <is>
          <t>RF, microwave, high-speed analog chips</t>
        </is>
      </c>
      <c r="D10" s="6" t="inlineStr">
        <is>
          <t>Med-High</t>
        </is>
      </c>
      <c r="E10" s="31" t="n">
        <v>0</v>
      </c>
      <c r="F10" s="31" t="n">
        <v>0</v>
      </c>
      <c r="G10" s="32" t="n">
        <v>0</v>
      </c>
      <c r="H10" s="36">
        <f>F10*G10</f>
        <v/>
      </c>
      <c r="I10" s="36">
        <f>E10*G10</f>
        <v/>
      </c>
      <c r="J10" s="36">
        <f>I10-H10</f>
        <v/>
      </c>
      <c r="K10" s="37">
        <f>IFERROR(J10/H10,"")</f>
        <v/>
      </c>
      <c r="L10" s="31" t="n">
        <v>0</v>
      </c>
      <c r="M10" s="31" t="n">
        <v>0</v>
      </c>
      <c r="N10" s="37">
        <f>IFERROR(E10/L10-1,"")</f>
        <v/>
      </c>
      <c r="O10" s="31" t="n">
        <v>0</v>
      </c>
      <c r="P10" s="37">
        <f>IFERROR(O10/E10-1,"")</f>
        <v/>
      </c>
      <c r="Q10" s="7" t="inlineStr">
        <is>
          <t>AI datacenter interconnect + telecom backbone. Less hype, more industrial AI backbone exposure.</t>
        </is>
      </c>
    </row>
    <row r="11">
      <c r="A11" s="30" t="inlineStr">
        <is>
          <t>AEVA</t>
        </is>
      </c>
      <c r="B11" s="10" t="inlineStr">
        <is>
          <t>Aeva Technologies</t>
        </is>
      </c>
      <c r="C11" s="10" t="inlineStr">
        <is>
          <t>Lidar + sensing for autonomous systems</t>
        </is>
      </c>
      <c r="D11" s="9" t="inlineStr">
        <is>
          <t>Very High</t>
        </is>
      </c>
      <c r="E11" s="31" t="n">
        <v>0</v>
      </c>
      <c r="F11" s="31" t="n">
        <v>0</v>
      </c>
      <c r="G11" s="32" t="n">
        <v>0</v>
      </c>
      <c r="H11" s="33">
        <f>F11*G11</f>
        <v/>
      </c>
      <c r="I11" s="33">
        <f>E11*G11</f>
        <v/>
      </c>
      <c r="J11" s="33">
        <f>I11-H11</f>
        <v/>
      </c>
      <c r="K11" s="34">
        <f>IFERROR(J11/H11,"")</f>
        <v/>
      </c>
      <c r="L11" s="31" t="n">
        <v>0</v>
      </c>
      <c r="M11" s="31" t="n">
        <v>0</v>
      </c>
      <c r="N11" s="34">
        <f>IFERROR(E11/L11-1,"")</f>
        <v/>
      </c>
      <c r="O11" s="31" t="n">
        <v>0</v>
      </c>
      <c r="P11" s="34">
        <f>IFERROR(O11/E11-1,"")</f>
        <v/>
      </c>
      <c r="Q11" s="10" t="inlineStr">
        <is>
          <t>Autonomous systems + robotics long tail. Pure asymmetric bet: low probability, high upside.</t>
        </is>
      </c>
    </row>
    <row r="13" ht="20" customHeight="1">
      <c r="A13" s="48" t="inlineStr">
        <is>
          <t>PORTFOLIO TOTALS</t>
        </is>
      </c>
      <c r="H13" s="49">
        <f>SUM(H5:H11)</f>
        <v/>
      </c>
      <c r="I13" s="49">
        <f>SUM(I5:I11)</f>
        <v/>
      </c>
      <c r="J13" s="49">
        <f>SUM(J5:J11)</f>
        <v/>
      </c>
      <c r="K13" s="50">
        <f>IFERROR(J13/H13,"")</f>
        <v/>
      </c>
    </row>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16.xml><?xml version="1.0" encoding="utf-8"?>
<worksheet xmlns="http://schemas.openxmlformats.org/spreadsheetml/2006/main">
  <sheetPr>
    <tabColor rgb="0000B0F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51" t="inlineStr">
        <is>
          <t>💡 Photonics &amp; Optics</t>
        </is>
      </c>
    </row>
    <row r="2" ht="18" customHeight="1">
      <c r="A2" s="28" t="inlineStr">
        <is>
          <t>Optical networking — key bottleneck in AI data center interconnect</t>
        </is>
      </c>
    </row>
    <row r="3" ht="32" customHeight="1">
      <c r="A3" s="3" t="inlineStr">
        <is>
          <t>🟡 Yellow cells = your inputs  |  All other cells auto-calculate</t>
        </is>
      </c>
    </row>
    <row r="4">
      <c r="A4" s="52" t="inlineStr">
        <is>
          <t>Ticker</t>
        </is>
      </c>
      <c r="B4" s="52" t="inlineStr">
        <is>
          <t>Company</t>
        </is>
      </c>
      <c r="C4" s="52" t="inlineStr">
        <is>
          <t>Focus / Niche</t>
        </is>
      </c>
      <c r="D4" s="52" t="inlineStr">
        <is>
          <t>Risk</t>
        </is>
      </c>
      <c r="E4" s="52" t="inlineStr">
        <is>
          <t>Current
Price</t>
        </is>
      </c>
      <c r="F4" s="52" t="inlineStr">
        <is>
          <t>Purchase
Price</t>
        </is>
      </c>
      <c r="G4" s="52" t="inlineStr">
        <is>
          <t>Shares
Owned</t>
        </is>
      </c>
      <c r="H4" s="52" t="inlineStr">
        <is>
          <t>Total
Cost</t>
        </is>
      </c>
      <c r="I4" s="52" t="inlineStr">
        <is>
          <t>Current
Value</t>
        </is>
      </c>
      <c r="J4" s="52" t="inlineStr">
        <is>
          <t>P&amp;L ($)</t>
        </is>
      </c>
      <c r="K4" s="52" t="inlineStr">
        <is>
          <t>P&amp;L (%)</t>
        </is>
      </c>
      <c r="L4" s="52" t="inlineStr">
        <is>
          <t>52W
High</t>
        </is>
      </c>
      <c r="M4" s="52" t="inlineStr">
        <is>
          <t>52W
Low</t>
        </is>
      </c>
      <c r="N4" s="52" t="inlineStr">
        <is>
          <t>% from
52W High</t>
        </is>
      </c>
      <c r="O4" s="52" t="inlineStr">
        <is>
          <t>Analyst
Target</t>
        </is>
      </c>
      <c r="P4" s="52" t="inlineStr">
        <is>
          <t>Upside to
Target</t>
        </is>
      </c>
      <c r="Q4" s="52" t="inlineStr">
        <is>
          <t>Investment Thesis / Notes</t>
        </is>
      </c>
    </row>
    <row r="5">
      <c r="A5" s="30" t="inlineStr">
        <is>
          <t>LITE</t>
        </is>
      </c>
      <c r="B5" s="10" t="inlineStr">
        <is>
          <t>Lumentum Holdings</t>
        </is>
      </c>
      <c r="C5" s="10" t="inlineStr">
        <is>
          <t>Photonics, optical components for AI DCs</t>
        </is>
      </c>
      <c r="D5" s="9" t="inlineStr">
        <is>
          <t>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King of Photonics. Could moonshot. Key bottleneck in AI data movement. Critical infrastructure.</t>
        </is>
      </c>
    </row>
    <row r="7" ht="20" customHeight="1">
      <c r="A7" s="53" t="inlineStr">
        <is>
          <t>PORTFOLIO TOTALS</t>
        </is>
      </c>
      <c r="H7" s="54">
        <f>SUM(H5:H5)</f>
        <v/>
      </c>
      <c r="I7" s="54">
        <f>SUM(I5:I5)</f>
        <v/>
      </c>
      <c r="J7" s="54">
        <f>SUM(J5:J5)</f>
        <v/>
      </c>
      <c r="K7" s="55">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7.xml><?xml version="1.0" encoding="utf-8"?>
<worksheet xmlns="http://schemas.openxmlformats.org/spreadsheetml/2006/main">
  <sheetPr>
    <tabColor rgb="00375623"/>
    <outlinePr summaryBelow="1" summaryRight="1"/>
    <pageSetUpPr/>
  </sheetPr>
  <dimension ref="A1:Q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56" t="inlineStr">
        <is>
          <t>🏗️ DC Builders &amp; Cooling</t>
        </is>
      </c>
    </row>
    <row r="2" ht="18" customHeight="1">
      <c r="A2" s="28" t="inlineStr">
        <is>
          <t>Builders, materials, and cooling companies powering AI data center construction</t>
        </is>
      </c>
    </row>
    <row r="3" ht="32" customHeight="1">
      <c r="A3" s="3" t="inlineStr">
        <is>
          <t>🟡 Yellow cells = your inputs  |  All other cells auto-calculate</t>
        </is>
      </c>
    </row>
    <row r="4">
      <c r="A4" s="57" t="inlineStr">
        <is>
          <t>Ticker</t>
        </is>
      </c>
      <c r="B4" s="57" t="inlineStr">
        <is>
          <t>Company</t>
        </is>
      </c>
      <c r="C4" s="57" t="inlineStr">
        <is>
          <t>Focus / Niche</t>
        </is>
      </c>
      <c r="D4" s="57" t="inlineStr">
        <is>
          <t>Risk</t>
        </is>
      </c>
      <c r="E4" s="57" t="inlineStr">
        <is>
          <t>Current
Price</t>
        </is>
      </c>
      <c r="F4" s="57" t="inlineStr">
        <is>
          <t>Purchase
Price</t>
        </is>
      </c>
      <c r="G4" s="57" t="inlineStr">
        <is>
          <t>Shares
Owned</t>
        </is>
      </c>
      <c r="H4" s="57" t="inlineStr">
        <is>
          <t>Total
Cost</t>
        </is>
      </c>
      <c r="I4" s="57" t="inlineStr">
        <is>
          <t>Current
Value</t>
        </is>
      </c>
      <c r="J4" s="57" t="inlineStr">
        <is>
          <t>P&amp;L ($)</t>
        </is>
      </c>
      <c r="K4" s="57" t="inlineStr">
        <is>
          <t>P&amp;L (%)</t>
        </is>
      </c>
      <c r="L4" s="57" t="inlineStr">
        <is>
          <t>52W
High</t>
        </is>
      </c>
      <c r="M4" s="57" t="inlineStr">
        <is>
          <t>52W
Low</t>
        </is>
      </c>
      <c r="N4" s="57" t="inlineStr">
        <is>
          <t>% from
52W High</t>
        </is>
      </c>
      <c r="O4" s="57" t="inlineStr">
        <is>
          <t>Analyst
Target</t>
        </is>
      </c>
      <c r="P4" s="57" t="inlineStr">
        <is>
          <t>Upside to
Target</t>
        </is>
      </c>
      <c r="Q4" s="57" t="inlineStr">
        <is>
          <t>Investment Thesis / Notes</t>
        </is>
      </c>
    </row>
    <row r="5">
      <c r="A5" s="30" t="inlineStr">
        <is>
          <t>CAT</t>
        </is>
      </c>
      <c r="B5" s="10" t="inlineStr">
        <is>
          <t>Caterpillar Inc</t>
        </is>
      </c>
      <c r="C5" s="10" t="inlineStr">
        <is>
          <t>Heavy equipment, construction</t>
        </is>
      </c>
      <c r="D5" s="9" t="inlineStr">
        <is>
          <t>Low-Med</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Actual builder and materials company in the AI data center trade.</t>
        </is>
      </c>
    </row>
    <row r="6">
      <c r="A6" s="35" t="inlineStr">
        <is>
          <t>FIX</t>
        </is>
      </c>
      <c r="B6" s="7" t="inlineStr">
        <is>
          <t>Comfort Systems USA</t>
        </is>
      </c>
      <c r="C6" s="7" t="inlineStr">
        <is>
          <t>HVAC, mechanical, electrical for DCs</t>
        </is>
      </c>
      <c r="D6" s="6" t="inlineStr">
        <is>
          <t>Medium</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Builder AND cooling company. AI data center HVAC &amp; MEP systems. Major growing bottleneck.</t>
        </is>
      </c>
    </row>
    <row r="7">
      <c r="A7" s="30" t="inlineStr">
        <is>
          <t>POWL</t>
        </is>
      </c>
      <c r="B7" s="10" t="inlineStr">
        <is>
          <t>Powell Industries</t>
        </is>
      </c>
      <c r="C7" s="10" t="inlineStr">
        <is>
          <t>Electrical infrastructure for DCs</t>
        </is>
      </c>
      <c r="D7" s="9" t="inlineStr">
        <is>
          <t>Medium</t>
        </is>
      </c>
      <c r="E7" s="31" t="n">
        <v>0</v>
      </c>
      <c r="F7" s="31" t="n">
        <v>0</v>
      </c>
      <c r="G7" s="32" t="n">
        <v>0</v>
      </c>
      <c r="H7" s="33">
        <f>F7*G7</f>
        <v/>
      </c>
      <c r="I7" s="33">
        <f>E7*G7</f>
        <v/>
      </c>
      <c r="J7" s="33">
        <f>I7-H7</f>
        <v/>
      </c>
      <c r="K7" s="34">
        <f>IFERROR(J7/H7,"")</f>
        <v/>
      </c>
      <c r="L7" s="31" t="n">
        <v>0</v>
      </c>
      <c r="M7" s="31" t="n">
        <v>0</v>
      </c>
      <c r="N7" s="34">
        <f>IFERROR(E7/L7-1,"")</f>
        <v/>
      </c>
      <c r="O7" s="31" t="n">
        <v>0</v>
      </c>
      <c r="P7" s="34">
        <f>IFERROR(O7/E7-1,"")</f>
        <v/>
      </c>
      <c r="Q7" s="10" t="inlineStr">
        <is>
          <t>Electrical infrastructure builder for AI data centers.</t>
        </is>
      </c>
    </row>
    <row r="8">
      <c r="A8" s="35" t="inlineStr">
        <is>
          <t>VRT</t>
        </is>
      </c>
      <c r="B8" s="7" t="inlineStr">
        <is>
          <t>Vertiv Holdings</t>
        </is>
      </c>
      <c r="C8" s="7" t="inlineStr">
        <is>
          <t>Cooling systems for AI data centers</t>
        </is>
      </c>
      <c r="D8" s="6" t="inlineStr">
        <is>
          <t>Medium</t>
        </is>
      </c>
      <c r="E8" s="31" t="n">
        <v>0</v>
      </c>
      <c r="F8" s="31" t="n">
        <v>0</v>
      </c>
      <c r="G8" s="32" t="n">
        <v>0</v>
      </c>
      <c r="H8" s="36">
        <f>F8*G8</f>
        <v/>
      </c>
      <c r="I8" s="36">
        <f>E8*G8</f>
        <v/>
      </c>
      <c r="J8" s="36">
        <f>I8-H8</f>
        <v/>
      </c>
      <c r="K8" s="37">
        <f>IFERROR(J8/H8,"")</f>
        <v/>
      </c>
      <c r="L8" s="31" t="n">
        <v>0</v>
      </c>
      <c r="M8" s="31" t="n">
        <v>0</v>
      </c>
      <c r="N8" s="37">
        <f>IFERROR(E8/L8-1,"")</f>
        <v/>
      </c>
      <c r="O8" s="31" t="n">
        <v>0</v>
      </c>
      <c r="P8" s="37">
        <f>IFERROR(O8/E8-1,"")</f>
        <v/>
      </c>
      <c r="Q8" s="7" t="inlineStr">
        <is>
          <t>Premier AI data center cooling play. Cooling is a growing bottleneck.</t>
        </is>
      </c>
    </row>
    <row r="10" ht="20" customHeight="1">
      <c r="A10" s="58" t="inlineStr">
        <is>
          <t>PORTFOLIO TOTALS</t>
        </is>
      </c>
      <c r="H10" s="59">
        <f>SUM(H5:H8)</f>
        <v/>
      </c>
      <c r="I10" s="59">
        <f>SUM(I5:I8)</f>
        <v/>
      </c>
      <c r="J10" s="59">
        <f>SUM(J5:J8)</f>
        <v/>
      </c>
      <c r="K10" s="60">
        <f>IFERROR(J10/H10,"")</f>
        <v/>
      </c>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18.xml><?xml version="1.0" encoding="utf-8"?>
<worksheet xmlns="http://schemas.openxmlformats.org/spreadsheetml/2006/main">
  <sheetPr>
    <tabColor rgb="00ED7D31"/>
    <outlinePr summaryBelow="1" summaryRight="1"/>
    <pageSetUpPr/>
  </sheetPr>
  <dimension ref="A1:Q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61" t="inlineStr">
        <is>
          <t>⚡ Power &amp; Energy</t>
        </is>
      </c>
    </row>
    <row r="2" ht="18" customHeight="1">
      <c r="A2" s="28" t="inlineStr">
        <is>
          <t>Power generation, grid maintenance &amp; nuclear energy for the AI buildout</t>
        </is>
      </c>
    </row>
    <row r="3" ht="32" customHeight="1">
      <c r="A3" s="3" t="inlineStr">
        <is>
          <t>🟡 Yellow cells = your inputs  |  All other cells auto-calculate</t>
        </is>
      </c>
    </row>
    <row r="4">
      <c r="A4" s="62" t="inlineStr">
        <is>
          <t>Ticker</t>
        </is>
      </c>
      <c r="B4" s="62" t="inlineStr">
        <is>
          <t>Company</t>
        </is>
      </c>
      <c r="C4" s="62" t="inlineStr">
        <is>
          <t>Focus / Niche</t>
        </is>
      </c>
      <c r="D4" s="62" t="inlineStr">
        <is>
          <t>Risk</t>
        </is>
      </c>
      <c r="E4" s="62" t="inlineStr">
        <is>
          <t>Current
Price</t>
        </is>
      </c>
      <c r="F4" s="62" t="inlineStr">
        <is>
          <t>Purchase
Price</t>
        </is>
      </c>
      <c r="G4" s="62" t="inlineStr">
        <is>
          <t>Shares
Owned</t>
        </is>
      </c>
      <c r="H4" s="62" t="inlineStr">
        <is>
          <t>Total
Cost</t>
        </is>
      </c>
      <c r="I4" s="62" t="inlineStr">
        <is>
          <t>Current
Value</t>
        </is>
      </c>
      <c r="J4" s="62" t="inlineStr">
        <is>
          <t>P&amp;L ($)</t>
        </is>
      </c>
      <c r="K4" s="62" t="inlineStr">
        <is>
          <t>P&amp;L (%)</t>
        </is>
      </c>
      <c r="L4" s="62" t="inlineStr">
        <is>
          <t>52W
High</t>
        </is>
      </c>
      <c r="M4" s="62" t="inlineStr">
        <is>
          <t>52W
Low</t>
        </is>
      </c>
      <c r="N4" s="62" t="inlineStr">
        <is>
          <t>% from
52W High</t>
        </is>
      </c>
      <c r="O4" s="62" t="inlineStr">
        <is>
          <t>Analyst
Target</t>
        </is>
      </c>
      <c r="P4" s="62" t="inlineStr">
        <is>
          <t>Upside to
Target</t>
        </is>
      </c>
      <c r="Q4" s="62" t="inlineStr">
        <is>
          <t>Investment Thesis / Notes</t>
        </is>
      </c>
    </row>
    <row r="5">
      <c r="A5" s="30" t="inlineStr">
        <is>
          <t>GEV</t>
        </is>
      </c>
      <c r="B5" s="10" t="inlineStr">
        <is>
          <t>GE Vernova</t>
        </is>
      </c>
      <c r="C5" s="10" t="inlineStr">
        <is>
          <t>Power generation &amp; grid equipment</t>
        </is>
      </c>
      <c r="D5" s="9" t="inlineStr">
        <is>
          <t>Medium</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Stability and steady compounder. Power and grid maintenance for AI buildout.</t>
        </is>
      </c>
    </row>
    <row r="6">
      <c r="A6" s="35" t="inlineStr">
        <is>
          <t>PWR</t>
        </is>
      </c>
      <c r="B6" s="7" t="inlineStr">
        <is>
          <t>Quanta Services</t>
        </is>
      </c>
      <c r="C6" s="7" t="inlineStr">
        <is>
          <t>Power grid infrastructure &amp; maintenance</t>
        </is>
      </c>
      <c r="D6" s="6" t="inlineStr">
        <is>
          <t>Medium</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Power generation and grid maintenance. Growing bottleneck for AI buildout.</t>
        </is>
      </c>
    </row>
    <row r="7">
      <c r="A7" s="30" t="inlineStr">
        <is>
          <t>BE</t>
        </is>
      </c>
      <c r="B7" s="10" t="inlineStr">
        <is>
          <t>Bloom Energy</t>
        </is>
      </c>
      <c r="C7" s="10" t="inlineStr">
        <is>
          <t>Fuel cell power generation</t>
        </is>
      </c>
      <c r="D7" s="9" t="inlineStr">
        <is>
          <t>High</t>
        </is>
      </c>
      <c r="E7" s="31" t="n">
        <v>0</v>
      </c>
      <c r="F7" s="31" t="n">
        <v>0</v>
      </c>
      <c r="G7" s="32" t="n">
        <v>0</v>
      </c>
      <c r="H7" s="33">
        <f>F7*G7</f>
        <v/>
      </c>
      <c r="I7" s="33">
        <f>E7*G7</f>
        <v/>
      </c>
      <c r="J7" s="33">
        <f>I7-H7</f>
        <v/>
      </c>
      <c r="K7" s="34">
        <f>IFERROR(J7/H7,"")</f>
        <v/>
      </c>
      <c r="L7" s="31" t="n">
        <v>0</v>
      </c>
      <c r="M7" s="31" t="n">
        <v>0</v>
      </c>
      <c r="N7" s="34">
        <f>IFERROR(E7/L7-1,"")</f>
        <v/>
      </c>
      <c r="O7" s="31" t="n">
        <v>0</v>
      </c>
      <c r="P7" s="34">
        <f>IFERROR(O7/E7-1,"")</f>
        <v/>
      </c>
      <c r="Q7" s="10" t="inlineStr">
        <is>
          <t>Moonshot potential if hydrogen &amp; fuel cell technology takes off.</t>
        </is>
      </c>
    </row>
    <row r="8">
      <c r="A8" s="35" t="inlineStr">
        <is>
          <t>OKLO</t>
        </is>
      </c>
      <c r="B8" s="7" t="inlineStr">
        <is>
          <t>Oklo Inc</t>
        </is>
      </c>
      <c r="C8" s="7" t="inlineStr">
        <is>
          <t>Nuclear SMRs + nuclear fuel waste</t>
        </is>
      </c>
      <c r="D8" s="6" t="inlineStr">
        <is>
          <t>Very High</t>
        </is>
      </c>
      <c r="E8" s="31" t="n">
        <v>0</v>
      </c>
      <c r="F8" s="31" t="n">
        <v>0</v>
      </c>
      <c r="G8" s="32" t="n">
        <v>0</v>
      </c>
      <c r="H8" s="36">
        <f>F8*G8</f>
        <v/>
      </c>
      <c r="I8" s="36">
        <f>E8*G8</f>
        <v/>
      </c>
      <c r="J8" s="36">
        <f>I8-H8</f>
        <v/>
      </c>
      <c r="K8" s="37">
        <f>IFERROR(J8/H8,"")</f>
        <v/>
      </c>
      <c r="L8" s="31" t="n">
        <v>0</v>
      </c>
      <c r="M8" s="31" t="n">
        <v>0</v>
      </c>
      <c r="N8" s="37">
        <f>IFERROR(E8/L8-1,"")</f>
        <v/>
      </c>
      <c r="O8" s="31" t="n">
        <v>0</v>
      </c>
      <c r="P8" s="37">
        <f>IFERROR(O8/E8-1,"")</f>
        <v/>
      </c>
      <c r="Q8" s="7" t="inlineStr">
        <is>
          <t>Massive moonshot potential. Big regulatory &amp; execution risk. Worth a small % of portfolio given massive potential.</t>
        </is>
      </c>
    </row>
    <row r="10" ht="20" customHeight="1">
      <c r="A10" s="63" t="inlineStr">
        <is>
          <t>PORTFOLIO TOTALS</t>
        </is>
      </c>
      <c r="H10" s="64">
        <f>SUM(H5:H8)</f>
        <v/>
      </c>
      <c r="I10" s="64">
        <f>SUM(I5:I8)</f>
        <v/>
      </c>
      <c r="J10" s="64">
        <f>SUM(J5:J8)</f>
        <v/>
      </c>
      <c r="K10" s="65">
        <f>IFERROR(J10/H10,"")</f>
        <v/>
      </c>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19.xml><?xml version="1.0" encoding="utf-8"?>
<worksheet xmlns="http://schemas.openxmlformats.org/spreadsheetml/2006/main">
  <sheetPr>
    <tabColor rgb="007030A0"/>
    <outlinePr summaryBelow="1" summaryRight="1"/>
    <pageSetUpPr/>
  </sheetPr>
  <dimension ref="A1:Q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66" t="inlineStr">
        <is>
          <t>☁️ Neoclouds &amp; AI Software</t>
        </is>
      </c>
    </row>
    <row r="2" ht="18" customHeight="1">
      <c r="A2" s="28" t="inlineStr">
        <is>
          <t>Next-gen cloud infrastructure and AI software platforms</t>
        </is>
      </c>
    </row>
    <row r="3" ht="32" customHeight="1">
      <c r="A3" s="3" t="inlineStr">
        <is>
          <t>🟡 Yellow cells = your inputs  |  All other cells auto-calculate</t>
        </is>
      </c>
    </row>
    <row r="4">
      <c r="A4" s="67" t="inlineStr">
        <is>
          <t>Ticker</t>
        </is>
      </c>
      <c r="B4" s="67" t="inlineStr">
        <is>
          <t>Company</t>
        </is>
      </c>
      <c r="C4" s="67" t="inlineStr">
        <is>
          <t>Focus / Niche</t>
        </is>
      </c>
      <c r="D4" s="67" t="inlineStr">
        <is>
          <t>Risk</t>
        </is>
      </c>
      <c r="E4" s="67" t="inlineStr">
        <is>
          <t>Current
Price</t>
        </is>
      </c>
      <c r="F4" s="67" t="inlineStr">
        <is>
          <t>Purchase
Price</t>
        </is>
      </c>
      <c r="G4" s="67" t="inlineStr">
        <is>
          <t>Shares
Owned</t>
        </is>
      </c>
      <c r="H4" s="67" t="inlineStr">
        <is>
          <t>Total
Cost</t>
        </is>
      </c>
      <c r="I4" s="67" t="inlineStr">
        <is>
          <t>Current
Value</t>
        </is>
      </c>
      <c r="J4" s="67" t="inlineStr">
        <is>
          <t>P&amp;L ($)</t>
        </is>
      </c>
      <c r="K4" s="67" t="inlineStr">
        <is>
          <t>P&amp;L (%)</t>
        </is>
      </c>
      <c r="L4" s="67" t="inlineStr">
        <is>
          <t>52W
High</t>
        </is>
      </c>
      <c r="M4" s="67" t="inlineStr">
        <is>
          <t>52W
Low</t>
        </is>
      </c>
      <c r="N4" s="67" t="inlineStr">
        <is>
          <t>% from
52W High</t>
        </is>
      </c>
      <c r="O4" s="67" t="inlineStr">
        <is>
          <t>Analyst
Target</t>
        </is>
      </c>
      <c r="P4" s="67" t="inlineStr">
        <is>
          <t>Upside to
Target</t>
        </is>
      </c>
      <c r="Q4" s="67" t="inlineStr">
        <is>
          <t>Investment Thesis / Notes</t>
        </is>
      </c>
    </row>
    <row r="5">
      <c r="A5" s="30" t="inlineStr">
        <is>
          <t>NBIS</t>
        </is>
      </c>
      <c r="B5" s="10" t="inlineStr">
        <is>
          <t>Nebius Group</t>
        </is>
      </c>
      <c r="C5" s="10" t="inlineStr">
        <is>
          <t>Neocloud + Clickhouse + AV Ride</t>
        </is>
      </c>
      <c r="D5" s="9" t="inlineStr">
        <is>
          <t>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Leading Neocloud with multiple revenue streams (Clickhouse, AV Ride). Modern Amazon/Google style company. Could become a future Hyperscaler.</t>
        </is>
      </c>
    </row>
    <row r="6">
      <c r="A6" s="35" t="inlineStr">
        <is>
          <t>PLTR</t>
        </is>
      </c>
      <c r="B6" s="7" t="inlineStr">
        <is>
          <t>Palantir Technologies</t>
        </is>
      </c>
      <c r="C6" s="7" t="inlineStr">
        <is>
          <t>AI software, government AI stack</t>
        </is>
      </c>
      <c r="D6" s="6" t="inlineStr">
        <is>
          <t>Med-High</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Integral to the entire government AI stack. Not going anywhere. AI Software outlier outside the data center trade.</t>
        </is>
      </c>
    </row>
    <row r="8" ht="20" customHeight="1">
      <c r="A8" s="68" t="inlineStr">
        <is>
          <t>PORTFOLIO TOTALS</t>
        </is>
      </c>
      <c r="H8" s="69">
        <f>SUM(H5:H6)</f>
        <v/>
      </c>
      <c r="I8" s="69">
        <f>SUM(I5:I6)</f>
        <v/>
      </c>
      <c r="J8" s="69">
        <f>SUM(J5:J6)</f>
        <v/>
      </c>
      <c r="K8" s="70">
        <f>IFERROR(J8/H8,"")</f>
        <v/>
      </c>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20.xml><?xml version="1.0" encoding="utf-8"?>
<worksheet xmlns="http://schemas.openxmlformats.org/spreadsheetml/2006/main">
  <sheetPr>
    <tabColor rgb="00595959"/>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71" t="inlineStr">
        <is>
          <t>🛡️ Defense &amp; Drones</t>
        </is>
      </c>
    </row>
    <row r="2" ht="18" customHeight="1">
      <c r="A2" s="28" t="inlineStr">
        <is>
          <t>Defense technology and drone companies — $1.5T defense budget tailwind</t>
        </is>
      </c>
    </row>
    <row r="3" ht="32" customHeight="1">
      <c r="A3" s="3" t="inlineStr">
        <is>
          <t>🟡 Yellow cells = your inputs  |  All other cells auto-calculate</t>
        </is>
      </c>
    </row>
    <row r="4">
      <c r="A4" s="72" t="inlineStr">
        <is>
          <t>Ticker</t>
        </is>
      </c>
      <c r="B4" s="72" t="inlineStr">
        <is>
          <t>Company</t>
        </is>
      </c>
      <c r="C4" s="72" t="inlineStr">
        <is>
          <t>Focus / Niche</t>
        </is>
      </c>
      <c r="D4" s="72" t="inlineStr">
        <is>
          <t>Risk</t>
        </is>
      </c>
      <c r="E4" s="72" t="inlineStr">
        <is>
          <t>Current
Price</t>
        </is>
      </c>
      <c r="F4" s="72" t="inlineStr">
        <is>
          <t>Purchase
Price</t>
        </is>
      </c>
      <c r="G4" s="72" t="inlineStr">
        <is>
          <t>Shares
Owned</t>
        </is>
      </c>
      <c r="H4" s="72" t="inlineStr">
        <is>
          <t>Total
Cost</t>
        </is>
      </c>
      <c r="I4" s="72" t="inlineStr">
        <is>
          <t>Current
Value</t>
        </is>
      </c>
      <c r="J4" s="72" t="inlineStr">
        <is>
          <t>P&amp;L ($)</t>
        </is>
      </c>
      <c r="K4" s="72" t="inlineStr">
        <is>
          <t>P&amp;L (%)</t>
        </is>
      </c>
      <c r="L4" s="72" t="inlineStr">
        <is>
          <t>52W
High</t>
        </is>
      </c>
      <c r="M4" s="72" t="inlineStr">
        <is>
          <t>52W
Low</t>
        </is>
      </c>
      <c r="N4" s="72" t="inlineStr">
        <is>
          <t>% from
52W High</t>
        </is>
      </c>
      <c r="O4" s="72" t="inlineStr">
        <is>
          <t>Analyst
Target</t>
        </is>
      </c>
      <c r="P4" s="72" t="inlineStr">
        <is>
          <t>Upside to
Target</t>
        </is>
      </c>
      <c r="Q4" s="72" t="inlineStr">
        <is>
          <t>Investment Thesis / Notes</t>
        </is>
      </c>
    </row>
    <row r="5">
      <c r="A5" s="30" t="inlineStr">
        <is>
          <t>ONDS</t>
        </is>
      </c>
      <c r="B5" s="10" t="inlineStr">
        <is>
          <t>Ondas Holdings</t>
        </is>
      </c>
      <c r="C5" s="10" t="inlineStr">
        <is>
          <t>Drones and defense tech</t>
        </is>
      </c>
      <c r="D5" s="9" t="inlineStr">
        <is>
          <t>Very 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$1.5T defense budget, $56B to drones/counter-drones via DAWG Program. Best chance to scale after March 2026 acquisitions &amp; partnerships. Very speculative.</t>
        </is>
      </c>
    </row>
    <row r="7" ht="20" customHeight="1">
      <c r="A7" s="73" t="inlineStr">
        <is>
          <t>PORTFOLIO TOTALS</t>
        </is>
      </c>
      <c r="H7" s="74">
        <f>SUM(H5:H5)</f>
        <v/>
      </c>
      <c r="I7" s="74">
        <f>SUM(I5:I5)</f>
        <v/>
      </c>
      <c r="J7" s="74">
        <f>SUM(J5:J5)</f>
        <v/>
      </c>
      <c r="K7" s="75">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21.xml><?xml version="1.0" encoding="utf-8"?>
<worksheet xmlns="http://schemas.openxmlformats.org/spreadsheetml/2006/main">
  <sheetPr>
    <tabColor rgb="0000206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76" t="inlineStr">
        <is>
          <t>🚀 Space Economy</t>
        </is>
      </c>
    </row>
    <row r="2" ht="18" customHeight="1">
      <c r="A2" s="28" t="inlineStr">
        <is>
          <t>Space infrastructure — long-duration compounder with SpaceX IPO catalyst</t>
        </is>
      </c>
    </row>
    <row r="3" ht="32" customHeight="1">
      <c r="A3" s="3" t="inlineStr">
        <is>
          <t>🟡 Yellow cells = your inputs  |  All other cells auto-calculate</t>
        </is>
      </c>
    </row>
    <row r="4">
      <c r="A4" s="77" t="inlineStr">
        <is>
          <t>Ticker</t>
        </is>
      </c>
      <c r="B4" s="77" t="inlineStr">
        <is>
          <t>Company</t>
        </is>
      </c>
      <c r="C4" s="77" t="inlineStr">
        <is>
          <t>Focus / Niche</t>
        </is>
      </c>
      <c r="D4" s="77" t="inlineStr">
        <is>
          <t>Risk</t>
        </is>
      </c>
      <c r="E4" s="77" t="inlineStr">
        <is>
          <t>Current
Price</t>
        </is>
      </c>
      <c r="F4" s="77" t="inlineStr">
        <is>
          <t>Purchase
Price</t>
        </is>
      </c>
      <c r="G4" s="77" t="inlineStr">
        <is>
          <t>Shares
Owned</t>
        </is>
      </c>
      <c r="H4" s="77" t="inlineStr">
        <is>
          <t>Total
Cost</t>
        </is>
      </c>
      <c r="I4" s="77" t="inlineStr">
        <is>
          <t>Current
Value</t>
        </is>
      </c>
      <c r="J4" s="77" t="inlineStr">
        <is>
          <t>P&amp;L ($)</t>
        </is>
      </c>
      <c r="K4" s="77" t="inlineStr">
        <is>
          <t>P&amp;L (%)</t>
        </is>
      </c>
      <c r="L4" s="77" t="inlineStr">
        <is>
          <t>52W
High</t>
        </is>
      </c>
      <c r="M4" s="77" t="inlineStr">
        <is>
          <t>52W
Low</t>
        </is>
      </c>
      <c r="N4" s="77" t="inlineStr">
        <is>
          <t>% from
52W High</t>
        </is>
      </c>
      <c r="O4" s="77" t="inlineStr">
        <is>
          <t>Analyst
Target</t>
        </is>
      </c>
      <c r="P4" s="77" t="inlineStr">
        <is>
          <t>Upside to
Target</t>
        </is>
      </c>
      <c r="Q4" s="77" t="inlineStr">
        <is>
          <t>Investment Thesis / Notes</t>
        </is>
      </c>
    </row>
    <row r="5">
      <c r="A5" s="30" t="inlineStr">
        <is>
          <t>RKLB</t>
        </is>
      </c>
      <c r="B5" s="10" t="inlineStr">
        <is>
          <t>Rocket Lab USA</t>
        </is>
      </c>
      <c r="C5" s="10" t="inlineStr">
        <is>
          <t>Space economy &amp; launch infrastructure</t>
        </is>
      </c>
      <c r="D5" s="9" t="inlineStr">
        <is>
          <t>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Huge future TAM over next decade+. Speculative but massive upside. Brilliant CEO. Near-term catalyst: SpaceX IPO in June.</t>
        </is>
      </c>
    </row>
    <row r="7" ht="20" customHeight="1">
      <c r="A7" s="78" t="inlineStr">
        <is>
          <t>PORTFOLIO TOTALS</t>
        </is>
      </c>
      <c r="H7" s="79">
        <f>SUM(H5:H5)</f>
        <v/>
      </c>
      <c r="I7" s="79">
        <f>SUM(I5:I5)</f>
        <v/>
      </c>
      <c r="J7" s="79">
        <f>SUM(J5:J5)</f>
        <v/>
      </c>
      <c r="K7" s="80">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Q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81" t="inlineStr">
        <is>
          <t>🔭 Long Term Watchlist</t>
        </is>
      </c>
    </row>
    <row r="2" ht="18" customHeight="1">
      <c r="A2" s="28" t="inlineStr">
        <is>
          <t>Long-term investment research candidates under active evaluation</t>
        </is>
      </c>
    </row>
    <row r="3" ht="32" customHeight="1">
      <c r="A3" s="3" t="inlineStr">
        <is>
          <t>🟡 Yellow cells = your inputs  |  All other cells auto-calculate</t>
        </is>
      </c>
    </row>
    <row r="4">
      <c r="A4" s="82" t="inlineStr">
        <is>
          <t>Ticker</t>
        </is>
      </c>
      <c r="B4" s="82" t="inlineStr">
        <is>
          <t>Company</t>
        </is>
      </c>
      <c r="C4" s="82" t="inlineStr">
        <is>
          <t>Focus / Niche</t>
        </is>
      </c>
      <c r="D4" s="82" t="inlineStr">
        <is>
          <t>Risk</t>
        </is>
      </c>
      <c r="E4" s="82" t="inlineStr">
        <is>
          <t>Current
Price</t>
        </is>
      </c>
      <c r="F4" s="82" t="inlineStr">
        <is>
          <t>Purchase
Price</t>
        </is>
      </c>
      <c r="G4" s="82" t="inlineStr">
        <is>
          <t>Shares
Owned</t>
        </is>
      </c>
      <c r="H4" s="82" t="inlineStr">
        <is>
          <t>Total
Cost</t>
        </is>
      </c>
      <c r="I4" s="82" t="inlineStr">
        <is>
          <t>Current
Value</t>
        </is>
      </c>
      <c r="J4" s="82" t="inlineStr">
        <is>
          <t>P&amp;L ($)</t>
        </is>
      </c>
      <c r="K4" s="82" t="inlineStr">
        <is>
          <t>P&amp;L (%)</t>
        </is>
      </c>
      <c r="L4" s="82" t="inlineStr">
        <is>
          <t>52W
High</t>
        </is>
      </c>
      <c r="M4" s="82" t="inlineStr">
        <is>
          <t>52W
Low</t>
        </is>
      </c>
      <c r="N4" s="82" t="inlineStr">
        <is>
          <t>% from
52W High</t>
        </is>
      </c>
      <c r="O4" s="82" t="inlineStr">
        <is>
          <t>Analyst
Target</t>
        </is>
      </c>
      <c r="P4" s="82" t="inlineStr">
        <is>
          <t>Upside to
Target</t>
        </is>
      </c>
      <c r="Q4" s="82" t="inlineStr">
        <is>
          <t>Investment Thesis / Notes</t>
        </is>
      </c>
    </row>
    <row r="5">
      <c r="A5" s="30" t="inlineStr">
        <is>
          <t>RBRK</t>
        </is>
      </c>
      <c r="B5" s="10" t="inlineStr">
        <is>
          <t>Rubrik Inc</t>
        </is>
      </c>
      <c r="C5" s="10" t="inlineStr">
        <is>
          <t>Cybersecurity, data management</t>
        </is>
      </c>
      <c r="D5" s="9" t="inlineStr">
        <is>
          <t>Med-High</t>
        </is>
      </c>
      <c r="E5" s="31" t="n">
        <v>0</v>
      </c>
      <c r="F5" s="31" t="n">
        <v>0</v>
      </c>
      <c r="G5" s="32" t="n">
        <v>0</v>
      </c>
      <c r="H5" s="33">
        <f>F5*G5</f>
        <v/>
      </c>
      <c r="I5" s="33">
        <f>E5*G5</f>
        <v/>
      </c>
      <c r="J5" s="33">
        <f>I5-H5</f>
        <v/>
      </c>
      <c r="K5" s="34">
        <f>IFERROR(J5/H5,"")</f>
        <v/>
      </c>
      <c r="L5" s="31" t="n">
        <v>0</v>
      </c>
      <c r="M5" s="31" t="n">
        <v>0</v>
      </c>
      <c r="N5" s="34">
        <f>IFERROR(E5/L5-1,"")</f>
        <v/>
      </c>
      <c r="O5" s="31" t="n">
        <v>0</v>
      </c>
      <c r="P5" s="34">
        <f>IFERROR(O5/E5-1,"")</f>
        <v/>
      </c>
      <c r="Q5" s="10" t="inlineStr">
        <is>
          <t>Long term investment research candidate.</t>
        </is>
      </c>
    </row>
    <row r="6">
      <c r="A6" s="35" t="inlineStr">
        <is>
          <t>NVO</t>
        </is>
      </c>
      <c r="B6" s="7" t="inlineStr">
        <is>
          <t>Novo Nordisk</t>
        </is>
      </c>
      <c r="C6" s="7" t="inlineStr">
        <is>
          <t>GLP-1 drugs, diabetes &amp; obesity</t>
        </is>
      </c>
      <c r="D6" s="6" t="inlineStr">
        <is>
          <t>Medium</t>
        </is>
      </c>
      <c r="E6" s="31" t="n">
        <v>0</v>
      </c>
      <c r="F6" s="31" t="n">
        <v>0</v>
      </c>
      <c r="G6" s="32" t="n">
        <v>0</v>
      </c>
      <c r="H6" s="36">
        <f>F6*G6</f>
        <v/>
      </c>
      <c r="I6" s="36">
        <f>E6*G6</f>
        <v/>
      </c>
      <c r="J6" s="36">
        <f>I6-H6</f>
        <v/>
      </c>
      <c r="K6" s="37">
        <f>IFERROR(J6/H6,"")</f>
        <v/>
      </c>
      <c r="L6" s="31" t="n">
        <v>0</v>
      </c>
      <c r="M6" s="31" t="n">
        <v>0</v>
      </c>
      <c r="N6" s="37">
        <f>IFERROR(E6/L6-1,"")</f>
        <v/>
      </c>
      <c r="O6" s="31" t="n">
        <v>0</v>
      </c>
      <c r="P6" s="37">
        <f>IFERROR(O6/E6-1,"")</f>
        <v/>
      </c>
      <c r="Q6" s="7" t="inlineStr">
        <is>
          <t>Long term investment research candidate.</t>
        </is>
      </c>
    </row>
    <row r="8" ht="20" customHeight="1">
      <c r="A8" s="83" t="inlineStr">
        <is>
          <t>PORTFOLIO TOTALS</t>
        </is>
      </c>
      <c r="H8" s="84">
        <f>SUM(H5:H6)</f>
        <v/>
      </c>
      <c r="I8" s="84">
        <f>SUM(I5:I6)</f>
        <v/>
      </c>
      <c r="J8" s="84">
        <f>SUM(J5:J6)</f>
        <v/>
      </c>
      <c r="K8" s="85">
        <f>IFERROR(J8/H8,"")</f>
        <v/>
      </c>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2026-05-06T21:59:25Z</dcterms:created>
  <dcterms:modified xsi:type="dcterms:W3CDTF">2026-05-06T21:59:25Z</dcterms:modified>
</cp:coreProperties>
</file>