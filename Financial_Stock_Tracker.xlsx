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 Dashboard" sheetId="1" state="visible" r:id="rId1"/>
    <sheet name="⚛️ Quantum Computing" sheetId="2" state="visible" r:id="rId2"/>
    <sheet name="🖥️ Semiconductors &amp; Compute" sheetId="3" state="visible" r:id="rId3"/>
    <sheet name="⚙️ AI Picks &amp; Shovels" sheetId="4" state="visible" r:id="rId4"/>
    <sheet name="💡 Photonics &amp; Optics" sheetId="5" state="visible" r:id="rId5"/>
    <sheet name="🏗️ DC Builders &amp; Cooling" sheetId="6" state="visible" r:id="rId6"/>
    <sheet name="⚡ Power &amp; Energy" sheetId="7" state="visible" r:id="rId7"/>
    <sheet name="☁️ Neoclouds &amp; AI Software" sheetId="8" state="visible" r:id="rId8"/>
    <sheet name="🛡️ Defense &amp; Drones" sheetId="9" state="visible" r:id="rId9"/>
    <sheet name="🚀 Space Economy" sheetId="10" state="visible" r:id="rId10"/>
    <sheet name="🔭 Long Term Watchlist" sheetId="11" state="visible" r:id="rId11"/>
    <sheet name="📝 Research Notes" sheetId="12" state="visible" r:id="rId12"/>
  </sheets>
  <definedNames/>
  <calcPr calcId="124519" fullCalcOnLoad="1"/>
</workbook>
</file>

<file path=xl/styles.xml><?xml version="1.0" encoding="utf-8"?>
<styleSheet xmlns="http://schemas.openxmlformats.org/spreadsheetml/2006/main">
  <numFmts count="2">
    <numFmt numFmtId="164" formatCode="&quot;$&quot;#,##0.00"/>
    <numFmt numFmtId="165" formatCode="+0.00&quot;%&quot;;-0.00&quot;%&quot;;0.00&quot;%&quot;"/>
  </numFmts>
  <fonts count="24">
    <font>
      <name val="Calibri"/>
      <family val="2"/>
      <color theme="1"/>
      <sz val="11"/>
      <scheme val="minor"/>
    </font>
    <font>
      <name val="Calibri"/>
      <b val="1"/>
      <color rgb="00FFD700"/>
      <sz val="16"/>
    </font>
    <font>
      <name val="Calibri"/>
      <i val="1"/>
      <color rgb="00FFFFFF"/>
      <sz val="10"/>
    </font>
    <font>
      <name val="Calibri"/>
      <i val="1"/>
      <color rgb="007F6000"/>
      <sz val="9"/>
    </font>
    <font>
      <name val="Calibri"/>
      <b val="1"/>
      <color rgb="00FFFFFF"/>
      <sz val="11"/>
    </font>
    <font>
      <name val="Calibri"/>
      <b val="1"/>
      <color rgb="007030A0"/>
      <sz val="11"/>
    </font>
    <font>
      <name val="Calibri"/>
      <b val="1"/>
      <color rgb="000070C0"/>
      <sz val="11"/>
    </font>
    <font>
      <name val="Calibri"/>
      <b val="1"/>
      <color rgb="00C55A11"/>
      <sz val="11"/>
    </font>
    <font>
      <name val="Calibri"/>
      <b val="1"/>
      <color rgb="0000B0F0"/>
      <sz val="11"/>
    </font>
    <font>
      <name val="Calibri"/>
      <b val="1"/>
      <color rgb="00375623"/>
      <sz val="11"/>
    </font>
    <font>
      <name val="Calibri"/>
      <b val="1"/>
      <color rgb="00ED7D31"/>
      <sz val="11"/>
    </font>
    <font>
      <name val="Calibri"/>
      <b val="1"/>
      <color rgb="005A2E8C"/>
      <sz val="11"/>
    </font>
    <font>
      <name val="Calibri"/>
      <b val="1"/>
      <color rgb="00595959"/>
      <sz val="11"/>
    </font>
    <font>
      <name val="Calibri"/>
      <b val="1"/>
      <color rgb="00002060"/>
      <sz val="11"/>
    </font>
    <font>
      <name val="Calibri"/>
      <b val="1"/>
      <color rgb="002E75B6"/>
      <sz val="11"/>
    </font>
    <font>
      <name val="Calibri"/>
      <b val="1"/>
      <color rgb="00FFD700"/>
      <sz val="12"/>
    </font>
    <font>
      <name val="Calibri"/>
      <b val="1"/>
      <color rgb="00FFFFFF"/>
      <sz val="12"/>
    </font>
    <font>
      <name val="Calibri"/>
      <b val="1"/>
      <color rgb="001B2A4A"/>
      <sz val="10"/>
    </font>
    <font>
      <name val="Calibri"/>
      <color rgb="001B2A4A"/>
      <sz val="9"/>
    </font>
    <font>
      <name val="Calibri"/>
      <b val="1"/>
      <color rgb="00FFFFFF"/>
      <sz val="14"/>
    </font>
    <font>
      <name val="Calibri"/>
      <i val="1"/>
      <color rgb="001B2A4A"/>
      <sz val="10"/>
    </font>
    <font>
      <name val="Calibri"/>
      <b val="1"/>
      <color rgb="00FFFFFF"/>
      <sz val="10"/>
    </font>
    <font>
      <name val="Calibri"/>
      <color rgb="001B2A4A"/>
      <sz val="10"/>
    </font>
    <font>
      <name val="Calibri"/>
      <b val="1"/>
      <color rgb="00FFD700"/>
      <sz val="14"/>
    </font>
  </fonts>
  <fills count="19">
    <fill>
      <patternFill/>
    </fill>
    <fill>
      <patternFill patternType="gray125"/>
    </fill>
    <fill>
      <patternFill patternType="solid">
        <fgColor rgb="001B2A4A"/>
        <bgColor rgb="001B2A4A"/>
      </patternFill>
    </fill>
    <fill>
      <patternFill patternType="solid">
        <fgColor rgb="002F5496"/>
        <bgColor rgb="002F5496"/>
      </patternFill>
    </fill>
    <fill>
      <patternFill patternType="solid">
        <fgColor rgb="00FFF2CC"/>
        <bgColor rgb="00FFF2CC"/>
      </patternFill>
    </fill>
    <fill>
      <patternFill patternType="solid">
        <fgColor rgb="00F5F5F5"/>
        <bgColor rgb="00F5F5F5"/>
      </patternFill>
    </fill>
    <fill>
      <patternFill patternType="solid">
        <fgColor rgb="00FFFFFF"/>
        <bgColor rgb="00FFFFFF"/>
      </patternFill>
    </fill>
    <fill>
      <patternFill patternType="solid">
        <fgColor rgb="00D9E1F2"/>
        <bgColor rgb="00D9E1F2"/>
      </patternFill>
    </fill>
    <fill>
      <patternFill patternType="solid">
        <fgColor rgb="007030A0"/>
        <bgColor rgb="007030A0"/>
      </patternFill>
    </fill>
    <fill>
      <patternFill patternType="solid">
        <fgColor rgb="00375623"/>
        <bgColor rgb="00375623"/>
      </patternFill>
    </fill>
    <fill>
      <patternFill patternType="solid">
        <fgColor rgb="000070C0"/>
        <bgColor rgb="000070C0"/>
      </patternFill>
    </fill>
    <fill>
      <patternFill patternType="solid">
        <fgColor rgb="009C0006"/>
        <bgColor rgb="009C0006"/>
      </patternFill>
    </fill>
    <fill>
      <patternFill patternType="solid">
        <fgColor rgb="00C55A11"/>
        <bgColor rgb="00C55A11"/>
      </patternFill>
    </fill>
    <fill>
      <patternFill patternType="solid">
        <fgColor rgb="0000B0F0"/>
        <bgColor rgb="0000B0F0"/>
      </patternFill>
    </fill>
    <fill>
      <patternFill patternType="solid">
        <fgColor rgb="00ED7D31"/>
        <bgColor rgb="00ED7D31"/>
      </patternFill>
    </fill>
    <fill>
      <patternFill patternType="solid">
        <fgColor rgb="005A2E8C"/>
        <bgColor rgb="005A2E8C"/>
      </patternFill>
    </fill>
    <fill>
      <patternFill patternType="solid">
        <fgColor rgb="00595959"/>
        <bgColor rgb="00595959"/>
      </patternFill>
    </fill>
    <fill>
      <patternFill patternType="solid">
        <fgColor rgb="00002060"/>
        <bgColor rgb="00002060"/>
      </patternFill>
    </fill>
    <fill>
      <patternFill patternType="solid">
        <fgColor rgb="002E75B6"/>
        <bgColor rgb="002E75B6"/>
      </patternFill>
    </fill>
  </fills>
  <borders count="5">
    <border>
      <left/>
      <right/>
      <top/>
      <bottom/>
      <diagonal/>
    </border>
    <border>
      <left style="thin">
        <color rgb="00AAAAAA"/>
      </left>
      <right style="thin">
        <color rgb="00AAAAAA"/>
      </right>
      <top style="medium">
        <color rgb="00AAAAAA"/>
      </top>
      <bottom style="medium">
        <color rgb="00AAAAAA"/>
      </bottom>
    </border>
    <border>
      <left style="thin">
        <color rgb="00AAAAAA"/>
      </left>
      <right style="thin">
        <color rgb="00AAAAAA"/>
      </right>
      <top style="thin">
        <color rgb="00AAAAAA"/>
      </top>
      <bottom style="thin">
        <color rgb="00AAAAAA"/>
      </bottom>
    </border>
    <border>
      <left style="medium">
        <color rgb="00AAAAAA"/>
      </left>
      <right style="medium">
        <color rgb="00AAAAAA"/>
      </right>
      <top style="medium">
        <color rgb="00AAAAAA"/>
      </top>
    </border>
    <border>
      <left style="medium">
        <color rgb="00AAAAAA"/>
      </left>
      <right style="medium">
        <color rgb="00AAAAAA"/>
      </right>
      <bottom style="medium">
        <color rgb="00AAAAAA"/>
      </bottom>
    </border>
  </borders>
  <cellStyleXfs count="1">
    <xf numFmtId="0" fontId="0" fillId="0" borderId="0"/>
  </cellStyleXfs>
  <cellXfs count="101">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wrapText="1"/>
    </xf>
    <xf numFmtId="0" fontId="4" fillId="2" borderId="1" applyAlignment="1" pivotButton="0" quotePrefix="0" xfId="0">
      <alignment horizontal="center" vertical="center" wrapText="1"/>
    </xf>
    <xf numFmtId="0" fontId="5" fillId="5" borderId="2" applyAlignment="1" pivotButton="0" quotePrefix="0" xfId="0">
      <alignment horizontal="left" vertical="center" wrapText="1"/>
    </xf>
    <xf numFmtId="0" fontId="0" fillId="5" borderId="2" applyAlignment="1" pivotButton="0" quotePrefix="0" xfId="0">
      <alignment horizontal="center" vertical="center" wrapText="1"/>
    </xf>
    <xf numFmtId="0" fontId="0" fillId="5" borderId="2" applyAlignment="1" pivotButton="0" quotePrefix="0" xfId="0">
      <alignment horizontal="left" vertical="center" wrapText="1"/>
    </xf>
    <xf numFmtId="0" fontId="6" fillId="6" borderId="2" applyAlignment="1" pivotButton="0" quotePrefix="0" xfId="0">
      <alignment horizontal="left" vertical="center" wrapText="1"/>
    </xf>
    <xf numFmtId="0" fontId="0" fillId="6" borderId="2" applyAlignment="1" pivotButton="0" quotePrefix="0" xfId="0">
      <alignment horizontal="center" vertical="center" wrapText="1"/>
    </xf>
    <xf numFmtId="0" fontId="0" fillId="6" borderId="2" applyAlignment="1" pivotButton="0" quotePrefix="0" xfId="0">
      <alignment horizontal="left" vertical="center" wrapText="1"/>
    </xf>
    <xf numFmtId="0" fontId="7" fillId="5" borderId="2" applyAlignment="1" pivotButton="0" quotePrefix="0" xfId="0">
      <alignment horizontal="left" vertical="center" wrapText="1"/>
    </xf>
    <xf numFmtId="0" fontId="8" fillId="6" borderId="2" applyAlignment="1" pivotButton="0" quotePrefix="0" xfId="0">
      <alignment horizontal="left" vertical="center" wrapText="1"/>
    </xf>
    <xf numFmtId="0" fontId="9" fillId="5" borderId="2" applyAlignment="1" pivotButton="0" quotePrefix="0" xfId="0">
      <alignment horizontal="left" vertical="center" wrapText="1"/>
    </xf>
    <xf numFmtId="0" fontId="10" fillId="6" borderId="2" applyAlignment="1" pivotButton="0" quotePrefix="0" xfId="0">
      <alignment horizontal="left" vertical="center" wrapText="1"/>
    </xf>
    <xf numFmtId="0" fontId="11" fillId="5" borderId="2" applyAlignment="1" pivotButton="0" quotePrefix="0" xfId="0">
      <alignment horizontal="left" vertical="center" wrapText="1"/>
    </xf>
    <xf numFmtId="0" fontId="12" fillId="6" borderId="2" applyAlignment="1" pivotButton="0" quotePrefix="0" xfId="0">
      <alignment horizontal="left" vertical="center" wrapText="1"/>
    </xf>
    <xf numFmtId="0" fontId="13" fillId="5" borderId="2" applyAlignment="1" pivotButton="0" quotePrefix="0" xfId="0">
      <alignment horizontal="left" vertical="center" wrapText="1"/>
    </xf>
    <xf numFmtId="0" fontId="14" fillId="6" borderId="2" applyAlignment="1" pivotButton="0" quotePrefix="0" xfId="0">
      <alignment horizontal="left" vertical="center" wrapText="1"/>
    </xf>
    <xf numFmtId="0" fontId="15" fillId="2" borderId="1" applyAlignment="1" pivotButton="0" quotePrefix="0" xfId="0">
      <alignment horizontal="center" vertical="center" wrapText="1"/>
    </xf>
    <xf numFmtId="0" fontId="0" fillId="2" borderId="1" pivotButton="0" quotePrefix="0" xfId="0"/>
    <xf numFmtId="0" fontId="16" fillId="3" borderId="0" applyAlignment="1" pivotButton="0" quotePrefix="0" xfId="0">
      <alignment horizontal="left" vertical="center" wrapText="1"/>
    </xf>
    <xf numFmtId="0" fontId="17" fillId="7" borderId="0" applyAlignment="1" pivotButton="0" quotePrefix="0" xfId="0">
      <alignment horizontal="left" vertical="center" wrapText="1"/>
    </xf>
    <xf numFmtId="0" fontId="18" fillId="6" borderId="2" applyAlignment="1" pivotButton="0" quotePrefix="0" xfId="0">
      <alignment horizontal="left" vertical="top" wrapText="1"/>
    </xf>
    <xf numFmtId="0" fontId="19" fillId="8" borderId="0" applyAlignment="1" pivotButton="0" quotePrefix="0" xfId="0">
      <alignment horizontal="center" vertical="center" wrapText="1"/>
    </xf>
    <xf numFmtId="0" fontId="20" fillId="7" borderId="0" applyAlignment="1" pivotButton="0" quotePrefix="0" xfId="0">
      <alignment horizontal="left" vertical="center" wrapText="1"/>
    </xf>
    <xf numFmtId="0" fontId="21" fillId="8" borderId="1" applyAlignment="1" pivotButton="0" quotePrefix="0" xfId="0">
      <alignment horizontal="center" vertical="center" wrapText="1"/>
    </xf>
    <xf numFmtId="0" fontId="6" fillId="6" borderId="2" applyAlignment="1" pivotButton="0" quotePrefix="0" xfId="0">
      <alignment horizontal="center" vertical="center" wrapText="1"/>
    </xf>
    <xf numFmtId="164" fontId="0" fillId="4" borderId="2" applyAlignment="1" pivotButton="0" quotePrefix="0" xfId="0">
      <alignment horizontal="center" vertical="center" wrapText="1"/>
    </xf>
    <xf numFmtId="165" fontId="4" fillId="9" borderId="2" applyAlignment="1" pivotButton="0" quotePrefix="0" xfId="0">
      <alignment horizontal="center" vertical="center" wrapText="1"/>
    </xf>
    <xf numFmtId="3" fontId="0" fillId="4" borderId="2" applyAlignment="1" pivotButton="0" quotePrefix="0" xfId="0">
      <alignment horizontal="center" vertical="center" wrapText="1"/>
    </xf>
    <xf numFmtId="164" fontId="0" fillId="6" borderId="2" applyAlignment="1" pivotButton="0" quotePrefix="0" xfId="0">
      <alignment horizontal="center" vertical="center" wrapText="1"/>
    </xf>
    <xf numFmtId="10" fontId="0" fillId="6" borderId="2" applyAlignment="1" pivotButton="0" quotePrefix="0" xfId="0">
      <alignment horizontal="center" vertical="center" wrapText="1"/>
    </xf>
    <xf numFmtId="0" fontId="6" fillId="5" borderId="2" applyAlignment="1" pivotButton="0" quotePrefix="0" xfId="0">
      <alignment horizontal="center" vertical="center" wrapText="1"/>
    </xf>
    <xf numFmtId="164" fontId="0" fillId="5" borderId="2" applyAlignment="1" pivotButton="0" quotePrefix="0" xfId="0">
      <alignment horizontal="center" vertical="center" wrapText="1"/>
    </xf>
    <xf numFmtId="10" fontId="0" fillId="5" borderId="2" applyAlignment="1" pivotButton="0" quotePrefix="0" xfId="0">
      <alignment horizontal="center" vertical="center" wrapText="1"/>
    </xf>
    <xf numFmtId="0" fontId="4" fillId="8" borderId="0" applyAlignment="1" pivotButton="0" quotePrefix="0" xfId="0">
      <alignment horizontal="center" vertical="center" wrapText="1"/>
    </xf>
    <xf numFmtId="164" fontId="4" fillId="8" borderId="1" applyAlignment="1" pivotButton="0" quotePrefix="0" xfId="0">
      <alignment horizontal="center" vertical="center" wrapText="1"/>
    </xf>
    <xf numFmtId="10" fontId="4" fillId="8" borderId="1" applyAlignment="1" pivotButton="0" quotePrefix="0" xfId="0">
      <alignment horizontal="center" vertical="center" wrapText="1"/>
    </xf>
    <xf numFmtId="0" fontId="4" fillId="8" borderId="0" applyAlignment="1" pivotButton="0" quotePrefix="0" xfId="0">
      <alignment horizontal="left" vertical="center" wrapText="1"/>
    </xf>
    <xf numFmtId="0" fontId="17" fillId="7" borderId="3" applyAlignment="1" pivotButton="0" quotePrefix="0" xfId="0">
      <alignment horizontal="left" vertical="center"/>
    </xf>
    <xf numFmtId="0" fontId="22" fillId="5" borderId="4" applyAlignment="1" pivotButton="0" quotePrefix="0" xfId="0">
      <alignment horizontal="left" vertical="top" wrapText="1"/>
    </xf>
    <xf numFmtId="0" fontId="22" fillId="6" borderId="4" applyAlignment="1" pivotButton="0" quotePrefix="0" xfId="0">
      <alignment horizontal="left" vertical="top" wrapText="1"/>
    </xf>
    <xf numFmtId="0" fontId="19" fillId="10" borderId="0" applyAlignment="1" pivotButton="0" quotePrefix="0" xfId="0">
      <alignment horizontal="center" vertical="center" wrapText="1"/>
    </xf>
    <xf numFmtId="0" fontId="21" fillId="10" borderId="1" applyAlignment="1" pivotButton="0" quotePrefix="0" xfId="0">
      <alignment horizontal="center" vertical="center" wrapText="1"/>
    </xf>
    <xf numFmtId="165" fontId="4" fillId="11" borderId="2" applyAlignment="1" pivotButton="0" quotePrefix="0" xfId="0">
      <alignment horizontal="center" vertical="center" wrapText="1"/>
    </xf>
    <xf numFmtId="0" fontId="4" fillId="10" borderId="0" applyAlignment="1" pivotButton="0" quotePrefix="0" xfId="0">
      <alignment horizontal="center" vertical="center" wrapText="1"/>
    </xf>
    <xf numFmtId="164" fontId="4" fillId="10" borderId="1" applyAlignment="1" pivotButton="0" quotePrefix="0" xfId="0">
      <alignment horizontal="center" vertical="center" wrapText="1"/>
    </xf>
    <xf numFmtId="10" fontId="4" fillId="10" borderId="1" applyAlignment="1" pivotButton="0" quotePrefix="0" xfId="0">
      <alignment horizontal="center" vertical="center" wrapText="1"/>
    </xf>
    <xf numFmtId="0" fontId="4" fillId="10" borderId="0" applyAlignment="1" pivotButton="0" quotePrefix="0" xfId="0">
      <alignment horizontal="left" vertical="center" wrapText="1"/>
    </xf>
    <xf numFmtId="0" fontId="19" fillId="12" borderId="0" applyAlignment="1" pivotButton="0" quotePrefix="0" xfId="0">
      <alignment horizontal="center" vertical="center" wrapText="1"/>
    </xf>
    <xf numFmtId="0" fontId="21" fillId="12" borderId="1" applyAlignment="1" pivotButton="0" quotePrefix="0" xfId="0">
      <alignment horizontal="center" vertical="center" wrapText="1"/>
    </xf>
    <xf numFmtId="0" fontId="4" fillId="12" borderId="0" applyAlignment="1" pivotButton="0" quotePrefix="0" xfId="0">
      <alignment horizontal="center" vertical="center" wrapText="1"/>
    </xf>
    <xf numFmtId="164" fontId="4" fillId="12" borderId="1" applyAlignment="1" pivotButton="0" quotePrefix="0" xfId="0">
      <alignment horizontal="center" vertical="center" wrapText="1"/>
    </xf>
    <xf numFmtId="10" fontId="4" fillId="12" borderId="1" applyAlignment="1" pivotButton="0" quotePrefix="0" xfId="0">
      <alignment horizontal="center" vertical="center" wrapText="1"/>
    </xf>
    <xf numFmtId="0" fontId="4" fillId="12" borderId="0" applyAlignment="1" pivotButton="0" quotePrefix="0" xfId="0">
      <alignment horizontal="left" vertical="center" wrapText="1"/>
    </xf>
    <xf numFmtId="0" fontId="19" fillId="13" borderId="0" applyAlignment="1" pivotButton="0" quotePrefix="0" xfId="0">
      <alignment horizontal="center" vertical="center" wrapText="1"/>
    </xf>
    <xf numFmtId="0" fontId="21" fillId="13" borderId="1" applyAlignment="1" pivotButton="0" quotePrefix="0" xfId="0">
      <alignment horizontal="center" vertical="center" wrapText="1"/>
    </xf>
    <xf numFmtId="0" fontId="4" fillId="13" borderId="0" applyAlignment="1" pivotButton="0" quotePrefix="0" xfId="0">
      <alignment horizontal="center" vertical="center" wrapText="1"/>
    </xf>
    <xf numFmtId="164" fontId="4" fillId="13" borderId="1" applyAlignment="1" pivotButton="0" quotePrefix="0" xfId="0">
      <alignment horizontal="center" vertical="center" wrapText="1"/>
    </xf>
    <xf numFmtId="10" fontId="4" fillId="13" borderId="1" applyAlignment="1" pivotButton="0" quotePrefix="0" xfId="0">
      <alignment horizontal="center" vertical="center" wrapText="1"/>
    </xf>
    <xf numFmtId="0" fontId="4" fillId="13" borderId="0" applyAlignment="1" pivotButton="0" quotePrefix="0" xfId="0">
      <alignment horizontal="left" vertical="center" wrapText="1"/>
    </xf>
    <xf numFmtId="0" fontId="19" fillId="9" borderId="0" applyAlignment="1" pivotButton="0" quotePrefix="0" xfId="0">
      <alignment horizontal="center" vertical="center" wrapText="1"/>
    </xf>
    <xf numFmtId="0" fontId="21" fillId="9" borderId="1" applyAlignment="1" pivotButton="0" quotePrefix="0" xfId="0">
      <alignment horizontal="center" vertical="center" wrapText="1"/>
    </xf>
    <xf numFmtId="0" fontId="4" fillId="9" borderId="0" applyAlignment="1" pivotButton="0" quotePrefix="0" xfId="0">
      <alignment horizontal="center" vertical="center" wrapText="1"/>
    </xf>
    <xf numFmtId="164" fontId="4" fillId="9" borderId="1" applyAlignment="1" pivotButton="0" quotePrefix="0" xfId="0">
      <alignment horizontal="center" vertical="center" wrapText="1"/>
    </xf>
    <xf numFmtId="10" fontId="4" fillId="9" borderId="1" applyAlignment="1" pivotButton="0" quotePrefix="0" xfId="0">
      <alignment horizontal="center" vertical="center" wrapText="1"/>
    </xf>
    <xf numFmtId="0" fontId="4" fillId="9" borderId="0" applyAlignment="1" pivotButton="0" quotePrefix="0" xfId="0">
      <alignment horizontal="left" vertical="center" wrapText="1"/>
    </xf>
    <xf numFmtId="0" fontId="19" fillId="14" borderId="0" applyAlignment="1" pivotButton="0" quotePrefix="0" xfId="0">
      <alignment horizontal="center" vertical="center" wrapText="1"/>
    </xf>
    <xf numFmtId="0" fontId="21" fillId="14" borderId="1" applyAlignment="1" pivotButton="0" quotePrefix="0" xfId="0">
      <alignment horizontal="center" vertical="center" wrapText="1"/>
    </xf>
    <xf numFmtId="0" fontId="4" fillId="14" borderId="0" applyAlignment="1" pivotButton="0" quotePrefix="0" xfId="0">
      <alignment horizontal="center" vertical="center" wrapText="1"/>
    </xf>
    <xf numFmtId="164" fontId="4" fillId="14" borderId="1" applyAlignment="1" pivotButton="0" quotePrefix="0" xfId="0">
      <alignment horizontal="center" vertical="center" wrapText="1"/>
    </xf>
    <xf numFmtId="10" fontId="4" fillId="14" borderId="1" applyAlignment="1" pivotButton="0" quotePrefix="0" xfId="0">
      <alignment horizontal="center" vertical="center" wrapText="1"/>
    </xf>
    <xf numFmtId="0" fontId="4" fillId="14" borderId="0" applyAlignment="1" pivotButton="0" quotePrefix="0" xfId="0">
      <alignment horizontal="left" vertical="center" wrapText="1"/>
    </xf>
    <xf numFmtId="0" fontId="19" fillId="15" borderId="0" applyAlignment="1" pivotButton="0" quotePrefix="0" xfId="0">
      <alignment horizontal="center" vertical="center" wrapText="1"/>
    </xf>
    <xf numFmtId="0" fontId="21" fillId="15" borderId="1" applyAlignment="1" pivotButton="0" quotePrefix="0" xfId="0">
      <alignment horizontal="center" vertical="center" wrapText="1"/>
    </xf>
    <xf numFmtId="0" fontId="4" fillId="15" borderId="0" applyAlignment="1" pivotButton="0" quotePrefix="0" xfId="0">
      <alignment horizontal="center" vertical="center" wrapText="1"/>
    </xf>
    <xf numFmtId="164" fontId="4" fillId="15" borderId="1" applyAlignment="1" pivotButton="0" quotePrefix="0" xfId="0">
      <alignment horizontal="center" vertical="center" wrapText="1"/>
    </xf>
    <xf numFmtId="10" fontId="4" fillId="15" borderId="1" applyAlignment="1" pivotButton="0" quotePrefix="0" xfId="0">
      <alignment horizontal="center" vertical="center" wrapText="1"/>
    </xf>
    <xf numFmtId="0" fontId="4" fillId="15" borderId="0" applyAlignment="1" pivotButton="0" quotePrefix="0" xfId="0">
      <alignment horizontal="left" vertical="center" wrapText="1"/>
    </xf>
    <xf numFmtId="0" fontId="19" fillId="16" borderId="0" applyAlignment="1" pivotButton="0" quotePrefix="0" xfId="0">
      <alignment horizontal="center" vertical="center" wrapText="1"/>
    </xf>
    <xf numFmtId="0" fontId="21" fillId="16" borderId="1" applyAlignment="1" pivotButton="0" quotePrefix="0" xfId="0">
      <alignment horizontal="center" vertical="center" wrapText="1"/>
    </xf>
    <xf numFmtId="0" fontId="4" fillId="16" borderId="0" applyAlignment="1" pivotButton="0" quotePrefix="0" xfId="0">
      <alignment horizontal="center" vertical="center" wrapText="1"/>
    </xf>
    <xf numFmtId="164" fontId="4" fillId="16" borderId="1" applyAlignment="1" pivotButton="0" quotePrefix="0" xfId="0">
      <alignment horizontal="center" vertical="center" wrapText="1"/>
    </xf>
    <xf numFmtId="10" fontId="4" fillId="16" borderId="1" applyAlignment="1" pivotButton="0" quotePrefix="0" xfId="0">
      <alignment horizontal="center" vertical="center" wrapText="1"/>
    </xf>
    <xf numFmtId="0" fontId="4" fillId="16" borderId="0" applyAlignment="1" pivotButton="0" quotePrefix="0" xfId="0">
      <alignment horizontal="left" vertical="center" wrapText="1"/>
    </xf>
    <xf numFmtId="0" fontId="19" fillId="17" borderId="0" applyAlignment="1" pivotButton="0" quotePrefix="0" xfId="0">
      <alignment horizontal="center" vertical="center" wrapText="1"/>
    </xf>
    <xf numFmtId="0" fontId="21" fillId="17" borderId="1" applyAlignment="1" pivotButton="0" quotePrefix="0" xfId="0">
      <alignment horizontal="center" vertical="center" wrapText="1"/>
    </xf>
    <xf numFmtId="0" fontId="4" fillId="17" borderId="0" applyAlignment="1" pivotButton="0" quotePrefix="0" xfId="0">
      <alignment horizontal="center" vertical="center" wrapText="1"/>
    </xf>
    <xf numFmtId="164" fontId="4" fillId="17" borderId="1" applyAlignment="1" pivotButton="0" quotePrefix="0" xfId="0">
      <alignment horizontal="center" vertical="center" wrapText="1"/>
    </xf>
    <xf numFmtId="10" fontId="4" fillId="17" borderId="1" applyAlignment="1" pivotButton="0" quotePrefix="0" xfId="0">
      <alignment horizontal="center" vertical="center" wrapText="1"/>
    </xf>
    <xf numFmtId="0" fontId="4" fillId="17" borderId="0" applyAlignment="1" pivotButton="0" quotePrefix="0" xfId="0">
      <alignment horizontal="left" vertical="center" wrapText="1"/>
    </xf>
    <xf numFmtId="0" fontId="19" fillId="18" borderId="0" applyAlignment="1" pivotButton="0" quotePrefix="0" xfId="0">
      <alignment horizontal="center" vertical="center" wrapText="1"/>
    </xf>
    <xf numFmtId="0" fontId="21" fillId="18" borderId="1" applyAlignment="1" pivotButton="0" quotePrefix="0" xfId="0">
      <alignment horizontal="center" vertical="center" wrapText="1"/>
    </xf>
    <xf numFmtId="0" fontId="4" fillId="18" borderId="0" applyAlignment="1" pivotButton="0" quotePrefix="0" xfId="0">
      <alignment horizontal="center" vertical="center" wrapText="1"/>
    </xf>
    <xf numFmtId="164" fontId="4" fillId="18" borderId="1" applyAlignment="1" pivotButton="0" quotePrefix="0" xfId="0">
      <alignment horizontal="center" vertical="center" wrapText="1"/>
    </xf>
    <xf numFmtId="10" fontId="4" fillId="18" borderId="1" applyAlignment="1" pivotButton="0" quotePrefix="0" xfId="0">
      <alignment horizontal="center" vertical="center" wrapText="1"/>
    </xf>
    <xf numFmtId="0" fontId="4" fillId="18" borderId="0" applyAlignment="1" pivotButton="0" quotePrefix="0" xfId="0">
      <alignment horizontal="left" vertical="center" wrapText="1"/>
    </xf>
    <xf numFmtId="0" fontId="23" fillId="2" borderId="0" applyAlignment="1" pivotButton="0" quotePrefix="0" xfId="0">
      <alignment horizontal="center" vertical="center" wrapText="1"/>
    </xf>
    <xf numFmtId="0" fontId="17" fillId="7" borderId="2" applyAlignment="1" pivotButton="0" quotePrefix="0" xfId="0">
      <alignment horizontal="left" vertical="top" wrapText="1"/>
    </xf>
    <xf numFmtId="0" fontId="17" fillId="5" borderId="2" applyAlignment="1" pivotButton="0" quotePrefix="0" xfId="0">
      <alignment horizontal="left" vertical="top" wrapText="1"/>
    </xf>
  </cellXfs>
  <cellStyles count="1">
    <cellStyle name="Normal" xfId="0" builtinId="0" hidden="0"/>
  </cellStyles>
  <dxfs count="2">
    <dxf>
      <font>
        <name val="Calibri"/>
        <b val="1"/>
        <color rgb="00375623"/>
      </font>
      <fill>
        <patternFill patternType="solid">
          <fgColor rgb="00E2EFDA"/>
          <bgColor rgb="00E2EFDA"/>
        </patternFill>
      </fill>
    </dxf>
    <dxf>
      <font>
        <name val="Calibri"/>
        <b val="1"/>
        <color rgb="009C0006"/>
      </font>
      <fill>
        <patternFill patternType="solid">
          <fgColor rgb="00FFC7CE"/>
          <b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B2A4A"/>
    <outlinePr summaryBelow="1" summaryRight="1"/>
    <pageSetUpPr/>
  </sheetPr>
  <dimension ref="A1:P44"/>
  <sheetViews>
    <sheetView workbookViewId="0">
      <pane ySplit="5" topLeftCell="A6" activePane="bottomLeft" state="frozen"/>
      <selection pane="bottomLeft" activeCell="A1" sqref="A1"/>
    </sheetView>
  </sheetViews>
  <sheetFormatPr baseColWidth="8" defaultRowHeight="15"/>
  <cols>
    <col width="26" customWidth="1" min="1" max="1"/>
    <col width="10" customWidth="1" min="2" max="2"/>
    <col width="14" customWidth="1" min="3" max="3"/>
    <col width="38" customWidth="1" min="4" max="4"/>
    <col width="16" customWidth="1" min="5" max="5"/>
    <col width="16" customWidth="1" min="6" max="6"/>
    <col width="14" customWidth="1" min="7" max="7"/>
    <col width="10" customWidth="1" min="8" max="8"/>
  </cols>
  <sheetData>
    <row r="1" ht="36" customHeight="1">
      <c r="A1" s="1" t="inlineStr">
        <is>
          <t>📈 PERSONAL STOCK TRACKER — PORTFOLIO DASHBOARD</t>
        </is>
      </c>
    </row>
    <row r="2" ht="18" customHeight="1">
      <c r="A2" s="2" t="inlineStr">
        <is>
          <t>Update prices in each category tab. This dashboard auto-totals across all categories.</t>
        </is>
      </c>
    </row>
    <row r="3" ht="16" customHeight="1">
      <c r="A3" s="3" t="inlineStr">
        <is>
          <t>🟡 Yellow cells = your inputs  |  All other cells auto-calculate  |  Green = gain  |  Red = loss  |  📡 Prices fetched: May 06, 2026 at 10:30 PM</t>
        </is>
      </c>
    </row>
    <row r="4" ht="8" customHeight="1"/>
    <row r="5" ht="22" customHeight="1">
      <c r="A5" s="4" t="inlineStr">
        <is>
          <t>Category</t>
        </is>
      </c>
      <c r="B5" s="4" t="inlineStr">
        <is>
          <t># Stocks</t>
        </is>
      </c>
      <c r="C5" s="4" t="inlineStr">
        <is>
          <t>Risk Profile</t>
        </is>
      </c>
      <c r="D5" s="4" t="inlineStr">
        <is>
          <t>Theme</t>
        </is>
      </c>
      <c r="E5" s="4" t="inlineStr">
        <is>
          <t>Total Cost</t>
        </is>
      </c>
      <c r="F5" s="4" t="inlineStr">
        <is>
          <t>Current Value</t>
        </is>
      </c>
      <c r="G5" s="4" t="inlineStr">
        <is>
          <t>P&amp;L ($)</t>
        </is>
      </c>
      <c r="H5" s="4" t="inlineStr">
        <is>
          <t>P&amp;L (%)</t>
        </is>
      </c>
    </row>
    <row r="6" ht="20" customHeight="1">
      <c r="A6" s="5" t="inlineStr">
        <is>
          <t>⚛️ Quantum Computing</t>
        </is>
      </c>
      <c r="B6" s="6" t="n">
        <v>3</v>
      </c>
      <c r="C6" s="6" t="inlineStr">
        <is>
          <t>Very High</t>
        </is>
      </c>
      <c r="D6" s="7" t="inlineStr">
        <is>
          <t>High-risk quantum plays — 10× potential</t>
        </is>
      </c>
      <c r="E6" s="6" t="inlineStr"/>
      <c r="F6" s="6" t="inlineStr"/>
      <c r="G6" s="6" t="inlineStr"/>
      <c r="H6" s="6" t="inlineStr"/>
    </row>
    <row r="7" ht="20" customHeight="1">
      <c r="A7" s="8" t="inlineStr">
        <is>
          <t>🖥️ Semiconductors &amp; Compute</t>
        </is>
      </c>
      <c r="B7" s="9" t="n">
        <v>6</v>
      </c>
      <c r="C7" s="9" t="inlineStr">
        <is>
          <t>Medium</t>
        </is>
      </c>
      <c r="D7" s="10" t="inlineStr">
        <is>
          <t>Core compute names — stability &amp; compounders</t>
        </is>
      </c>
      <c r="E7" s="9" t="inlineStr"/>
      <c r="F7" s="9" t="inlineStr"/>
      <c r="G7" s="9" t="inlineStr"/>
      <c r="H7" s="9" t="inlineStr"/>
    </row>
    <row r="8" ht="20" customHeight="1">
      <c r="A8" s="11" t="inlineStr">
        <is>
          <t>⚙️ AI Picks &amp; Shovels</t>
        </is>
      </c>
      <c r="B8" s="6" t="n">
        <v>7</v>
      </c>
      <c r="C8" s="6" t="inlineStr">
        <is>
          <t>High</t>
        </is>
      </c>
      <c r="D8" s="7" t="inlineStr">
        <is>
          <t>Smaller-cap NVDA-adjacent — asymmetric upside</t>
        </is>
      </c>
      <c r="E8" s="6" t="inlineStr"/>
      <c r="F8" s="6" t="inlineStr"/>
      <c r="G8" s="6" t="inlineStr"/>
      <c r="H8" s="6" t="inlineStr"/>
    </row>
    <row r="9" ht="20" customHeight="1">
      <c r="A9" s="12" t="inlineStr">
        <is>
          <t>💡 Photonics &amp; Optics</t>
        </is>
      </c>
      <c r="B9" s="9" t="n">
        <v>1</v>
      </c>
      <c r="C9" s="9" t="inlineStr">
        <is>
          <t>High</t>
        </is>
      </c>
      <c r="D9" s="10" t="inlineStr">
        <is>
          <t>Optical interconnect — key AI DC bottleneck</t>
        </is>
      </c>
      <c r="E9" s="9" t="inlineStr"/>
      <c r="F9" s="9" t="inlineStr"/>
      <c r="G9" s="9" t="inlineStr"/>
      <c r="H9" s="9" t="inlineStr"/>
    </row>
    <row r="10" ht="20" customHeight="1">
      <c r="A10" s="13" t="inlineStr">
        <is>
          <t>🏗️ DC Builders &amp; Cooling</t>
        </is>
      </c>
      <c r="B10" s="6" t="n">
        <v>4</v>
      </c>
      <c r="C10" s="6" t="inlineStr">
        <is>
          <t>Low-Medium</t>
        </is>
      </c>
      <c r="D10" s="7" t="inlineStr">
        <is>
          <t>Data center construction &amp; cooling plays</t>
        </is>
      </c>
      <c r="E10" s="6" t="inlineStr"/>
      <c r="F10" s="6" t="inlineStr"/>
      <c r="G10" s="6" t="inlineStr"/>
      <c r="H10" s="6" t="inlineStr"/>
    </row>
    <row r="11" ht="20" customHeight="1">
      <c r="A11" s="14" t="inlineStr">
        <is>
          <t>⚡ Power &amp; Energy</t>
        </is>
      </c>
      <c r="B11" s="9" t="n">
        <v>4</v>
      </c>
      <c r="C11" s="9" t="inlineStr">
        <is>
          <t>Medium-High</t>
        </is>
      </c>
      <c r="D11" s="10" t="inlineStr">
        <is>
          <t>Power generation, grid &amp; nuclear for AI buildout</t>
        </is>
      </c>
      <c r="E11" s="9" t="inlineStr"/>
      <c r="F11" s="9" t="inlineStr"/>
      <c r="G11" s="9" t="inlineStr"/>
      <c r="H11" s="9" t="inlineStr"/>
    </row>
    <row r="12" ht="20" customHeight="1">
      <c r="A12" s="15" t="inlineStr">
        <is>
          <t>☁️ Neoclouds &amp; AI Software</t>
        </is>
      </c>
      <c r="B12" s="6" t="n">
        <v>2</v>
      </c>
      <c r="C12" s="6" t="inlineStr">
        <is>
          <t>Medium-High</t>
        </is>
      </c>
      <c r="D12" s="7" t="inlineStr">
        <is>
          <t>Next-gen cloud &amp; government AI software</t>
        </is>
      </c>
      <c r="E12" s="6" t="inlineStr"/>
      <c r="F12" s="6" t="inlineStr"/>
      <c r="G12" s="6" t="inlineStr"/>
      <c r="H12" s="6" t="inlineStr"/>
    </row>
    <row r="13" ht="20" customHeight="1">
      <c r="A13" s="16" t="inlineStr">
        <is>
          <t>🛡️ Defense &amp; Drones</t>
        </is>
      </c>
      <c r="B13" s="9" t="n">
        <v>1</v>
      </c>
      <c r="C13" s="9" t="inlineStr">
        <is>
          <t>Very High</t>
        </is>
      </c>
      <c r="D13" s="10" t="inlineStr">
        <is>
          <t>$1.5T defense budget — drone &amp; defense tech</t>
        </is>
      </c>
      <c r="E13" s="9" t="inlineStr"/>
      <c r="F13" s="9" t="inlineStr"/>
      <c r="G13" s="9" t="inlineStr"/>
      <c r="H13" s="9" t="inlineStr"/>
    </row>
    <row r="14" ht="20" customHeight="1">
      <c r="A14" s="17" t="inlineStr">
        <is>
          <t>🚀 Space Economy</t>
        </is>
      </c>
      <c r="B14" s="6" t="n">
        <v>1</v>
      </c>
      <c r="C14" s="6" t="inlineStr">
        <is>
          <t>High</t>
        </is>
      </c>
      <c r="D14" s="7" t="inlineStr">
        <is>
          <t>Space infrastructure — SpaceX IPO catalyst</t>
        </is>
      </c>
      <c r="E14" s="6" t="inlineStr"/>
      <c r="F14" s="6" t="inlineStr"/>
      <c r="G14" s="6" t="inlineStr"/>
      <c r="H14" s="6" t="inlineStr"/>
    </row>
    <row r="15" ht="20" customHeight="1">
      <c r="A15" s="18" t="inlineStr">
        <is>
          <t>🔭 Long Term Watchlist</t>
        </is>
      </c>
      <c r="B15" s="9" t="n">
        <v>2</v>
      </c>
      <c r="C15" s="9" t="inlineStr">
        <is>
          <t>Mixed</t>
        </is>
      </c>
      <c r="D15" s="10" t="inlineStr">
        <is>
          <t>Research candidates under active evaluation</t>
        </is>
      </c>
      <c r="E15" s="9" t="inlineStr"/>
      <c r="F15" s="9" t="inlineStr"/>
      <c r="G15" s="9" t="inlineStr"/>
      <c r="H15" s="9" t="inlineStr"/>
    </row>
    <row r="17" ht="24" customHeight="1">
      <c r="A17" s="19" t="inlineStr">
        <is>
          <t>GRAND TOTAL — ALL CATEGORIES</t>
        </is>
      </c>
      <c r="B17" s="20" t="n"/>
      <c r="C17" s="20" t="n"/>
      <c r="D17" s="20" t="n"/>
      <c r="E17" s="20" t="n"/>
      <c r="F17" s="20" t="n"/>
      <c r="G17" s="20" t="n"/>
      <c r="H17" s="20" t="n"/>
    </row>
    <row r="20" ht="22" customHeight="1">
      <c r="A20" s="21" t="inlineStr">
        <is>
          <t>📌  KEY RESEARCH NOTES &amp; THESIS</t>
        </is>
      </c>
    </row>
    <row r="21" ht="18" customHeight="1">
      <c r="A21" s="22" t="inlineStr">
        <is>
          <t>To-Do Actions</t>
        </is>
      </c>
    </row>
    <row r="22" ht="60" customHeight="1">
      <c r="A22" s="23" t="inlineStr">
        <is>
          <t>• Transfer 401k from Accrue/Vestwell → Charles Schwab
• Transfer 401k from Vanguard → Charles Schwab
• Open Capital One Savings Account (for holding taxes)
• Learn Unusual Whales website (watch YouTube tutorials)</t>
        </is>
      </c>
    </row>
    <row r="23"/>
    <row r="24"/>
    <row r="25" ht="18" customHeight="1">
      <c r="A25" s="22" t="inlineStr">
        <is>
          <t>AI Infrastructure Thesis</t>
        </is>
      </c>
    </row>
    <row r="26" ht="60" customHeight="1">
      <c r="A26" s="23" t="inlineStr">
        <is>
          <t>The AI trade is no longer just about GPUs. It is shifting down stack into:
  Memory Names | Photonics &amp; Optics | CPU Makers (INTC, AMD, ARM, NVDA)
  Data Center Builders &amp; Materials (CAT, FIX, POWL) | Cooling (VRT, FIX)
  Power Generation &amp; Grid (GEV, BE, PWR) | Nuclear (OKLO)</t>
        </is>
      </c>
    </row>
    <row r="27"/>
    <row r="28"/>
    <row r="29" ht="18" customHeight="1">
      <c r="A29" s="22" t="inlineStr">
        <is>
          <t>What Connects Small-Cap AI Names</t>
        </is>
      </c>
    </row>
    <row r="30" ht="60" customHeight="1">
      <c r="A30" s="23" t="inlineStr">
        <is>
          <t>These are not mini-NVDA clones. They represent:
  1. AI Infrastructure Bottlenecks: power (NVTS), chip testing (AEHR), data movement (CRDO/MTSI), efficiency (ALGM)
  2. Early Monetization Phase: revenue exists but still scaling
  3. Narrative Sensitivity: move on earnings beats, guidance raises, AI capex headlines</t>
        </is>
      </c>
    </row>
    <row r="31"/>
    <row r="32"/>
    <row r="33" ht="18" customHeight="1">
      <c r="A33" s="22" t="inlineStr">
        <is>
          <t>Recommended Core Portfolio Mix</t>
        </is>
      </c>
    </row>
    <row r="34" ht="60" customHeight="1">
      <c r="A34" s="23" t="inlineStr">
        <is>
          <t>LRCX (stability) | DRAM ETF | LITE (photonics moonshot) | NVDA (stability) | AVGO (stability)
FIX or POWL or CAT (pick one) | GEV (stability) | BE (if hydrogen thesis) | OKLO (nuclear moonshot, small %)
NBIS (future hyperscaler) | PLTR (gov AI software) | ONDS (drone defense, speculative) | RKLB (space economy)</t>
        </is>
      </c>
    </row>
    <row r="35"/>
    <row r="36"/>
    <row r="37" ht="18" customHeight="1">
      <c r="A37" s="22" t="inlineStr">
        <is>
          <t>Quantum Run Note</t>
        </is>
      </c>
    </row>
    <row r="38" ht="60" customHeight="1">
      <c r="A38" s="23" t="inlineStr">
        <is>
          <t>Next run will be quantum. Buy IONQ, RGTI, and QBTS. Easy 10× within 2 years.</t>
        </is>
      </c>
    </row>
    <row r="39"/>
    <row r="40"/>
    <row r="41" ht="18" customHeight="1">
      <c r="A41" s="22" t="inlineStr">
        <is>
          <t>Three Outliers Outside Data Center Trade</t>
        </is>
      </c>
    </row>
    <row r="42" ht="60" customHeight="1">
      <c r="A42" s="23" t="inlineStr">
        <is>
          <t>PLTR — AI Software. Integral to entire government AI stack.
ONDS — Drones &amp; Defense. $1.5T defense budget, $56B specifically to drones via DAWG Program.
RKLB — Space Economy. Huge future TAM. SpaceX IPO in June is a near-term catalyst.</t>
        </is>
      </c>
    </row>
    <row r="43"/>
    <row r="44"/>
  </sheetData>
  <mergeCells count="17">
    <mergeCell ref="A26:H28"/>
    <mergeCell ref="A17:D17"/>
    <mergeCell ref="A21:H21"/>
    <mergeCell ref="A34:H36"/>
    <mergeCell ref="A29:H29"/>
    <mergeCell ref="A25:H25"/>
    <mergeCell ref="A1:P1"/>
    <mergeCell ref="A20:H20"/>
    <mergeCell ref="A38:H40"/>
    <mergeCell ref="A41:H41"/>
    <mergeCell ref="A33:H33"/>
    <mergeCell ref="A22:H24"/>
    <mergeCell ref="A3:P3"/>
    <mergeCell ref="A42:H44"/>
    <mergeCell ref="A37:H37"/>
    <mergeCell ref="A30:H32"/>
    <mergeCell ref="A2:P2"/>
  </mergeCells>
  <pageMargins left="0.75" right="0.75" top="1" bottom="1" header="0.5" footer="0.5"/>
</worksheet>
</file>

<file path=xl/worksheets/sheet2.xml><?xml version="1.0" encoding="utf-8"?>
<worksheet xmlns="http://schemas.openxmlformats.org/spreadsheetml/2006/main">
  <sheetPr>
    <tabColor rgb="007030A0"/>
    <outlinePr summaryBelow="1" summaryRight="1"/>
    <pageSetUpPr/>
  </sheetPr>
  <dimension ref="A1:Q17"/>
  <sheetViews>
    <sheetView workbookViewId="0">
      <pane ySplit="3" topLeftCell="A4" activePane="bottomLeft" state="frozen"/>
      <selection pane="bottomLeft" activeCell="A1" sqref="A1"/>
    </sheetView>
  </sheetViews>
  <sheetFormatPr baseColWidth="8" defaultRowHeight="15"/>
  <cols>
    <col width="10" customWidth="1" min="1" max="1"/>
    <col width="28"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s>
  <sheetData>
    <row r="1" ht="28" customHeight="1">
      <c r="A1" s="24" t="inlineStr">
        <is>
          <t>⚛️ Quantum Computing</t>
        </is>
      </c>
    </row>
    <row r="2" ht="18" customHeight="1">
      <c r="A2" s="25" t="inlineStr">
        <is>
          <t>High-risk quantum plays — potential 10× returns within 2 years</t>
        </is>
      </c>
    </row>
    <row r="3" ht="32" customHeight="1">
      <c r="A3" s="3" t="inlineStr">
        <is>
          <t>🟡 Yellow cells = your inputs  |  All other cells auto-calculate  |  📡 Prices fetched: May 06, 2026 at 10:30 PM</t>
        </is>
      </c>
    </row>
    <row r="4">
      <c r="A4" s="26" t="inlineStr">
        <is>
          <t>Ticker</t>
        </is>
      </c>
      <c r="B4" s="26" t="inlineStr">
        <is>
          <t>Company</t>
        </is>
      </c>
      <c r="C4" s="26" t="inlineStr">
        <is>
          <t>Focus / Niche</t>
        </is>
      </c>
      <c r="D4" s="26" t="inlineStr">
        <is>
          <t>Risk</t>
        </is>
      </c>
      <c r="E4" s="26" t="inlineStr">
        <is>
          <t>Current
Price</t>
        </is>
      </c>
      <c r="F4" s="26" t="inlineStr">
        <is>
          <t>Today's
+/- %</t>
        </is>
      </c>
      <c r="G4" s="26" t="inlineStr">
        <is>
          <t>Purchase
Price</t>
        </is>
      </c>
      <c r="H4" s="26" t="inlineStr">
        <is>
          <t>Shares
Owned</t>
        </is>
      </c>
      <c r="I4" s="26" t="inlineStr">
        <is>
          <t>Total
Cost</t>
        </is>
      </c>
      <c r="J4" s="26" t="inlineStr">
        <is>
          <t>Current
Value</t>
        </is>
      </c>
      <c r="K4" s="26" t="inlineStr">
        <is>
          <t>P&amp;L ($)</t>
        </is>
      </c>
      <c r="L4" s="26" t="inlineStr">
        <is>
          <t>P&amp;L (%)</t>
        </is>
      </c>
      <c r="M4" s="26" t="inlineStr">
        <is>
          <t>52W
High</t>
        </is>
      </c>
      <c r="N4" s="26" t="inlineStr">
        <is>
          <t>52W
Low</t>
        </is>
      </c>
      <c r="O4" s="26" t="inlineStr">
        <is>
          <t>% from
52W High</t>
        </is>
      </c>
      <c r="P4" s="26" t="inlineStr">
        <is>
          <t>Analyst
Target</t>
        </is>
      </c>
      <c r="Q4" s="26" t="inlineStr">
        <is>
          <t>Upside to
Target</t>
        </is>
      </c>
    </row>
    <row r="5">
      <c r="A5" s="27" t="inlineStr">
        <is>
          <t>IONQ</t>
        </is>
      </c>
      <c r="B5" s="10" t="inlineStr">
        <is>
          <t>IonQ Inc</t>
        </is>
      </c>
      <c r="C5" s="10" t="inlineStr">
        <is>
          <t>Quantum computing hardware &amp; software</t>
        </is>
      </c>
      <c r="D5" s="9" t="inlineStr">
        <is>
          <t>Very High</t>
        </is>
      </c>
      <c r="E5" s="28" t="n">
        <v>52.57</v>
      </c>
      <c r="F5" s="29" t="n">
        <v>9.429641329775643</v>
      </c>
      <c r="G5" s="28" t="n">
        <v>0</v>
      </c>
      <c r="H5" s="30" t="n">
        <v>0</v>
      </c>
      <c r="I5" s="31">
        <f>G5*H5</f>
        <v/>
      </c>
      <c r="J5" s="31">
        <f>E5*H5</f>
        <v/>
      </c>
      <c r="K5" s="31">
        <f>J5-I5</f>
        <v/>
      </c>
      <c r="L5" s="32">
        <f>IFERROR(K5/I5,"")</f>
        <v/>
      </c>
      <c r="M5" s="28" t="n">
        <v>0</v>
      </c>
      <c r="N5" s="28" t="n">
        <v>0</v>
      </c>
      <c r="O5" s="32">
        <f>IFERROR(E5/M5-1,"")</f>
        <v/>
      </c>
      <c r="P5" s="28" t="n">
        <v>0</v>
      </c>
      <c r="Q5" s="32">
        <f>IFERROR(P5/E5-1,"")</f>
        <v/>
      </c>
    </row>
    <row r="6">
      <c r="A6" s="33" t="inlineStr">
        <is>
          <t>RGTI</t>
        </is>
      </c>
      <c r="B6" s="7" t="inlineStr">
        <is>
          <t>Rigetti Computing</t>
        </is>
      </c>
      <c r="C6" s="7" t="inlineStr">
        <is>
          <t>Quantum computing chips &amp; systems</t>
        </is>
      </c>
      <c r="D6" s="6" t="inlineStr">
        <is>
          <t>Very High</t>
        </is>
      </c>
      <c r="E6" s="28" t="n">
        <v>20.09</v>
      </c>
      <c r="F6" s="29" t="n">
        <v>10.38522273522322</v>
      </c>
      <c r="G6" s="28" t="n">
        <v>0</v>
      </c>
      <c r="H6" s="30" t="n">
        <v>0</v>
      </c>
      <c r="I6" s="34">
        <f>G6*H6</f>
        <v/>
      </c>
      <c r="J6" s="34">
        <f>E6*H6</f>
        <v/>
      </c>
      <c r="K6" s="34">
        <f>J6-I6</f>
        <v/>
      </c>
      <c r="L6" s="35">
        <f>IFERROR(K6/I6,"")</f>
        <v/>
      </c>
      <c r="M6" s="28" t="n">
        <v>0</v>
      </c>
      <c r="N6" s="28" t="n">
        <v>0</v>
      </c>
      <c r="O6" s="35">
        <f>IFERROR(E6/M6-1,"")</f>
        <v/>
      </c>
      <c r="P6" s="28" t="n">
        <v>0</v>
      </c>
      <c r="Q6" s="35">
        <f>IFERROR(P6/E6-1,"")</f>
        <v/>
      </c>
    </row>
    <row r="7">
      <c r="A7" s="27" t="inlineStr">
        <is>
          <t>QBTS</t>
        </is>
      </c>
      <c r="B7" s="10" t="inlineStr">
        <is>
          <t>D-Wave Quantum</t>
        </is>
      </c>
      <c r="C7" s="10" t="inlineStr">
        <is>
          <t>Quantum annealing systems</t>
        </is>
      </c>
      <c r="D7" s="9" t="inlineStr">
        <is>
          <t>Very High</t>
        </is>
      </c>
      <c r="E7" s="28" t="n">
        <v>23.83</v>
      </c>
      <c r="F7" s="29" t="n">
        <v>11.19925302709312</v>
      </c>
      <c r="G7" s="28" t="n">
        <v>0</v>
      </c>
      <c r="H7" s="30" t="n">
        <v>0</v>
      </c>
      <c r="I7" s="31">
        <f>G7*H7</f>
        <v/>
      </c>
      <c r="J7" s="31">
        <f>E7*H7</f>
        <v/>
      </c>
      <c r="K7" s="31">
        <f>J7-I7</f>
        <v/>
      </c>
      <c r="L7" s="32">
        <f>IFERROR(K7/I7,"")</f>
        <v/>
      </c>
      <c r="M7" s="28" t="n">
        <v>0</v>
      </c>
      <c r="N7" s="28" t="n">
        <v>0</v>
      </c>
      <c r="O7" s="32">
        <f>IFERROR(E7/M7-1,"")</f>
        <v/>
      </c>
      <c r="P7" s="28" t="n">
        <v>0</v>
      </c>
      <c r="Q7" s="32">
        <f>IFERROR(P7/E7-1,"")</f>
        <v/>
      </c>
    </row>
    <row r="9" ht="20" customHeight="1">
      <c r="A9" s="36" t="inlineStr">
        <is>
          <t>PORTFOLIO TOTALS</t>
        </is>
      </c>
      <c r="H9" s="37">
        <f>SUM(H5:H7)</f>
        <v/>
      </c>
      <c r="I9" s="37">
        <f>SUM(I5:I7)</f>
        <v/>
      </c>
      <c r="J9" s="37">
        <f>SUM(J5:J7)</f>
        <v/>
      </c>
      <c r="K9" s="38">
        <f>IFERROR(J9/H9,"")</f>
        <v/>
      </c>
    </row>
    <row r="11" ht="22" customHeight="1">
      <c r="A11" s="39" t="inlineStr">
        <is>
          <t>📌  INVESTMENT THESIS &amp; RESEARCH NOTES</t>
        </is>
      </c>
    </row>
    <row r="12" ht="18" customHeight="1">
      <c r="A12" s="40" t="inlineStr">
        <is>
          <t xml:space="preserve">  IONQ  —  IonQ Inc  |  Risk: Very High</t>
        </is>
      </c>
    </row>
    <row r="13" ht="52" customHeight="1">
      <c r="A13" s="41" t="inlineStr">
        <is>
          <t>Next quantum run candidate. Easy 10× within 2 years potential.</t>
        </is>
      </c>
    </row>
    <row r="14" ht="18" customHeight="1">
      <c r="A14" s="40" t="inlineStr">
        <is>
          <t xml:space="preserve">  RGTI  —  Rigetti Computing  |  Risk: Very High</t>
        </is>
      </c>
    </row>
    <row r="15" ht="52" customHeight="1">
      <c r="A15" s="42" t="inlineStr">
        <is>
          <t>Next quantum run candidate. Easy 10× within 2 years potential.</t>
        </is>
      </c>
    </row>
    <row r="16" ht="18" customHeight="1">
      <c r="A16" s="40" t="inlineStr">
        <is>
          <t xml:space="preserve">  QBTS  —  D-Wave Quantum  |  Risk: Very High</t>
        </is>
      </c>
    </row>
    <row r="17" ht="52" customHeight="1">
      <c r="A17" s="41" t="inlineStr">
        <is>
          <t>Next quantum run candidate. Easy 10× within 2 years potential.</t>
        </is>
      </c>
    </row>
  </sheetData>
  <mergeCells count="11">
    <mergeCell ref="A14:Q14"/>
    <mergeCell ref="A17:Q17"/>
    <mergeCell ref="A9:G9"/>
    <mergeCell ref="A3:Q3"/>
    <mergeCell ref="A12:Q12"/>
    <mergeCell ref="A2:Q2"/>
    <mergeCell ref="A16:Q16"/>
    <mergeCell ref="A15:Q15"/>
    <mergeCell ref="A11:Q11"/>
    <mergeCell ref="A1:Q1"/>
    <mergeCell ref="A13:Q13"/>
  </mergeCells>
  <conditionalFormatting sqref="J5:J7">
    <cfRule type="cellIs" priority="1" operator="greaterThan" dxfId="0">
      <formula>0</formula>
    </cfRule>
    <cfRule type="cellIs" priority="2" operator="lessThan" dxfId="1">
      <formula>0</formula>
    </cfRule>
  </conditionalFormatting>
  <conditionalFormatting sqref="K5:K7">
    <cfRule type="cellIs" priority="1" operator="greaterThan" dxfId="0">
      <formula>0</formula>
    </cfRule>
    <cfRule type="cellIs" priority="2" operator="lessThan" dxfId="1">
      <formula>0</formula>
    </cfRule>
  </conditionalFormatting>
  <pageMargins left="0.75" right="0.75" top="1" bottom="1" header="0.5" footer="0.5"/>
</worksheet>
</file>

<file path=xl/worksheets/sheet3.xml><?xml version="1.0" encoding="utf-8"?>
<worksheet xmlns="http://schemas.openxmlformats.org/spreadsheetml/2006/main">
  <sheetPr>
    <tabColor rgb="000070C0"/>
    <outlinePr summaryBelow="1" summaryRight="1"/>
    <pageSetUpPr/>
  </sheetPr>
  <dimension ref="A1:Q26"/>
  <sheetViews>
    <sheetView workbookViewId="0">
      <pane ySplit="3" topLeftCell="A4" activePane="bottomLeft" state="frozen"/>
      <selection pane="bottomLeft" activeCell="A1" sqref="A1"/>
    </sheetView>
  </sheetViews>
  <sheetFormatPr baseColWidth="8" defaultRowHeight="15"/>
  <cols>
    <col width="10" customWidth="1" min="1" max="1"/>
    <col width="28"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s>
  <sheetData>
    <row r="1" ht="28" customHeight="1">
      <c r="A1" s="43" t="inlineStr">
        <is>
          <t>🖥️ Semiconductors &amp; Compute</t>
        </is>
      </c>
    </row>
    <row r="2" ht="18" customHeight="1">
      <c r="A2" s="25" t="inlineStr">
        <is>
          <t>Core semiconductor &amp; compute names — stability + steady compounders</t>
        </is>
      </c>
    </row>
    <row r="3" ht="32" customHeight="1">
      <c r="A3" s="3" t="inlineStr">
        <is>
          <t>🟡 Yellow cells = your inputs  |  All other cells auto-calculate  |  📡 Prices fetched: May 06, 2026 at 10:30 PM</t>
        </is>
      </c>
    </row>
    <row r="4">
      <c r="A4" s="44" t="inlineStr">
        <is>
          <t>Ticker</t>
        </is>
      </c>
      <c r="B4" s="44" t="inlineStr">
        <is>
          <t>Company</t>
        </is>
      </c>
      <c r="C4" s="44" t="inlineStr">
        <is>
          <t>Focus / Niche</t>
        </is>
      </c>
      <c r="D4" s="44" t="inlineStr">
        <is>
          <t>Risk</t>
        </is>
      </c>
      <c r="E4" s="44" t="inlineStr">
        <is>
          <t>Current
Price</t>
        </is>
      </c>
      <c r="F4" s="44" t="inlineStr">
        <is>
          <t>Today's
+/- %</t>
        </is>
      </c>
      <c r="G4" s="44" t="inlineStr">
        <is>
          <t>Purchase
Price</t>
        </is>
      </c>
      <c r="H4" s="44" t="inlineStr">
        <is>
          <t>Shares
Owned</t>
        </is>
      </c>
      <c r="I4" s="44" t="inlineStr">
        <is>
          <t>Total
Cost</t>
        </is>
      </c>
      <c r="J4" s="44" t="inlineStr">
        <is>
          <t>Current
Value</t>
        </is>
      </c>
      <c r="K4" s="44" t="inlineStr">
        <is>
          <t>P&amp;L ($)</t>
        </is>
      </c>
      <c r="L4" s="44" t="inlineStr">
        <is>
          <t>P&amp;L (%)</t>
        </is>
      </c>
      <c r="M4" s="44" t="inlineStr">
        <is>
          <t>52W
High</t>
        </is>
      </c>
      <c r="N4" s="44" t="inlineStr">
        <is>
          <t>52W
Low</t>
        </is>
      </c>
      <c r="O4" s="44" t="inlineStr">
        <is>
          <t>% from
52W High</t>
        </is>
      </c>
      <c r="P4" s="44" t="inlineStr">
        <is>
          <t>Analyst
Target</t>
        </is>
      </c>
      <c r="Q4" s="44" t="inlineStr">
        <is>
          <t>Upside to
Target</t>
        </is>
      </c>
    </row>
    <row r="5">
      <c r="A5" s="27" t="inlineStr">
        <is>
          <t>NVDA</t>
        </is>
      </c>
      <c r="B5" s="10" t="inlineStr">
        <is>
          <t>NVIDIA Corp</t>
        </is>
      </c>
      <c r="C5" s="10" t="inlineStr">
        <is>
          <t>GPUs, AI compute</t>
        </is>
      </c>
      <c r="D5" s="9" t="inlineStr">
        <is>
          <t>Medium</t>
        </is>
      </c>
      <c r="E5" s="28" t="n">
        <v>207.83</v>
      </c>
      <c r="F5" s="29" t="n">
        <v>5.272809613927784</v>
      </c>
      <c r="G5" s="28" t="n">
        <v>0</v>
      </c>
      <c r="H5" s="30" t="n">
        <v>0</v>
      </c>
      <c r="I5" s="31">
        <f>G5*H5</f>
        <v/>
      </c>
      <c r="J5" s="31">
        <f>E5*H5</f>
        <v/>
      </c>
      <c r="K5" s="31">
        <f>J5-I5</f>
        <v/>
      </c>
      <c r="L5" s="32">
        <f>IFERROR(K5/I5,"")</f>
        <v/>
      </c>
      <c r="M5" s="28" t="n">
        <v>0</v>
      </c>
      <c r="N5" s="28" t="n">
        <v>0</v>
      </c>
      <c r="O5" s="32">
        <f>IFERROR(E5/M5-1,"")</f>
        <v/>
      </c>
      <c r="P5" s="28" t="n">
        <v>0</v>
      </c>
      <c r="Q5" s="32">
        <f>IFERROR(P5/E5-1,"")</f>
        <v/>
      </c>
    </row>
    <row r="6">
      <c r="A6" s="33" t="inlineStr">
        <is>
          <t>AVGO</t>
        </is>
      </c>
      <c r="B6" s="7" t="inlineStr">
        <is>
          <t>Broadcom Inc</t>
        </is>
      </c>
      <c r="C6" s="7" t="inlineStr">
        <is>
          <t>Semiconductors, networking</t>
        </is>
      </c>
      <c r="D6" s="6" t="inlineStr">
        <is>
          <t>Medium</t>
        </is>
      </c>
      <c r="E6" s="28" t="n">
        <v>425.44</v>
      </c>
      <c r="F6" s="45" t="n">
        <v>-1.518517953378183</v>
      </c>
      <c r="G6" s="28" t="n">
        <v>0</v>
      </c>
      <c r="H6" s="30" t="n">
        <v>0</v>
      </c>
      <c r="I6" s="34">
        <f>G6*H6</f>
        <v/>
      </c>
      <c r="J6" s="34">
        <f>E6*H6</f>
        <v/>
      </c>
      <c r="K6" s="34">
        <f>J6-I6</f>
        <v/>
      </c>
      <c r="L6" s="35">
        <f>IFERROR(K6/I6,"")</f>
        <v/>
      </c>
      <c r="M6" s="28" t="n">
        <v>0</v>
      </c>
      <c r="N6" s="28" t="n">
        <v>0</v>
      </c>
      <c r="O6" s="35">
        <f>IFERROR(E6/M6-1,"")</f>
        <v/>
      </c>
      <c r="P6" s="28" t="n">
        <v>0</v>
      </c>
      <c r="Q6" s="35">
        <f>IFERROR(P6/E6-1,"")</f>
        <v/>
      </c>
    </row>
    <row r="7">
      <c r="A7" s="27" t="inlineStr">
        <is>
          <t>LRCX</t>
        </is>
      </c>
      <c r="B7" s="10" t="inlineStr">
        <is>
          <t>Lam Research</t>
        </is>
      </c>
      <c r="C7" s="10" t="inlineStr">
        <is>
          <t>Semiconductor equipment, DRAM</t>
        </is>
      </c>
      <c r="D7" s="9" t="inlineStr">
        <is>
          <t>Medium</t>
        </is>
      </c>
      <c r="E7" s="28" t="n">
        <v>297.17</v>
      </c>
      <c r="F7" s="29" t="n">
        <v>6.196624174582565</v>
      </c>
      <c r="G7" s="28" t="n">
        <v>0</v>
      </c>
      <c r="H7" s="30" t="n">
        <v>0</v>
      </c>
      <c r="I7" s="31">
        <f>G7*H7</f>
        <v/>
      </c>
      <c r="J7" s="31">
        <f>E7*H7</f>
        <v/>
      </c>
      <c r="K7" s="31">
        <f>J7-I7</f>
        <v/>
      </c>
      <c r="L7" s="32">
        <f>IFERROR(K7/I7,"")</f>
        <v/>
      </c>
      <c r="M7" s="28" t="n">
        <v>0</v>
      </c>
      <c r="N7" s="28" t="n">
        <v>0</v>
      </c>
      <c r="O7" s="32">
        <f>IFERROR(E7/M7-1,"")</f>
        <v/>
      </c>
      <c r="P7" s="28" t="n">
        <v>0</v>
      </c>
      <c r="Q7" s="32">
        <f>IFERROR(P7/E7-1,"")</f>
        <v/>
      </c>
    </row>
    <row r="8">
      <c r="A8" s="33" t="inlineStr">
        <is>
          <t>AMD</t>
        </is>
      </c>
      <c r="B8" s="7" t="inlineStr">
        <is>
          <t>Advanced Micro Devices</t>
        </is>
      </c>
      <c r="C8" s="7" t="inlineStr">
        <is>
          <t>CPUs, GPUs, AI chips</t>
        </is>
      </c>
      <c r="D8" s="6" t="inlineStr">
        <is>
          <t>Medium</t>
        </is>
      </c>
      <c r="E8" s="28" t="n">
        <v>421.39</v>
      </c>
      <c r="F8" s="29" t="n">
        <v>1.7850276928593</v>
      </c>
      <c r="G8" s="28" t="n">
        <v>0</v>
      </c>
      <c r="H8" s="30" t="n">
        <v>0</v>
      </c>
      <c r="I8" s="34">
        <f>G8*H8</f>
        <v/>
      </c>
      <c r="J8" s="34">
        <f>E8*H8</f>
        <v/>
      </c>
      <c r="K8" s="34">
        <f>J8-I8</f>
        <v/>
      </c>
      <c r="L8" s="35">
        <f>IFERROR(K8/I8,"")</f>
        <v/>
      </c>
      <c r="M8" s="28" t="n">
        <v>0</v>
      </c>
      <c r="N8" s="28" t="n">
        <v>0</v>
      </c>
      <c r="O8" s="35">
        <f>IFERROR(E8/M8-1,"")</f>
        <v/>
      </c>
      <c r="P8" s="28" t="n">
        <v>0</v>
      </c>
      <c r="Q8" s="35">
        <f>IFERROR(P8/E8-1,"")</f>
        <v/>
      </c>
    </row>
    <row r="9">
      <c r="A9" s="27" t="inlineStr">
        <is>
          <t>INTC</t>
        </is>
      </c>
      <c r="B9" s="10" t="inlineStr">
        <is>
          <t>Intel Corp</t>
        </is>
      </c>
      <c r="C9" s="10" t="inlineStr">
        <is>
          <t>CPUs, AI accelerators</t>
        </is>
      </c>
      <c r="D9" s="9" t="inlineStr">
        <is>
          <t>Med-High</t>
        </is>
      </c>
      <c r="E9" s="28" t="n">
        <v>113.01</v>
      </c>
      <c r="F9" s="45" t="n">
        <v>-0.2999540042077861</v>
      </c>
      <c r="G9" s="28" t="n">
        <v>0</v>
      </c>
      <c r="H9" s="30" t="n">
        <v>0</v>
      </c>
      <c r="I9" s="31">
        <f>G9*H9</f>
        <v/>
      </c>
      <c r="J9" s="31">
        <f>E9*H9</f>
        <v/>
      </c>
      <c r="K9" s="31">
        <f>J9-I9</f>
        <v/>
      </c>
      <c r="L9" s="32">
        <f>IFERROR(K9/I9,"")</f>
        <v/>
      </c>
      <c r="M9" s="28" t="n">
        <v>0</v>
      </c>
      <c r="N9" s="28" t="n">
        <v>0</v>
      </c>
      <c r="O9" s="32">
        <f>IFERROR(E9/M9-1,"")</f>
        <v/>
      </c>
      <c r="P9" s="28" t="n">
        <v>0</v>
      </c>
      <c r="Q9" s="32">
        <f>IFERROR(P9/E9-1,"")</f>
        <v/>
      </c>
    </row>
    <row r="10">
      <c r="A10" s="33" t="inlineStr">
        <is>
          <t>ARM</t>
        </is>
      </c>
      <c r="B10" s="7" t="inlineStr">
        <is>
          <t>Arm Holdings</t>
        </is>
      </c>
      <c r="C10" s="7" t="inlineStr">
        <is>
          <t>Chip architecture licensing</t>
        </is>
      </c>
      <c r="D10" s="6" t="inlineStr">
        <is>
          <t>Medium</t>
        </is>
      </c>
      <c r="E10" s="28" t="n">
        <v>237.3</v>
      </c>
      <c r="F10" s="29" t="n">
        <v>4.893251581027195</v>
      </c>
      <c r="G10" s="28" t="n">
        <v>0</v>
      </c>
      <c r="H10" s="30" t="n">
        <v>0</v>
      </c>
      <c r="I10" s="34">
        <f>G10*H10</f>
        <v/>
      </c>
      <c r="J10" s="34">
        <f>E10*H10</f>
        <v/>
      </c>
      <c r="K10" s="34">
        <f>J10-I10</f>
        <v/>
      </c>
      <c r="L10" s="35">
        <f>IFERROR(K10/I10,"")</f>
        <v/>
      </c>
      <c r="M10" s="28" t="n">
        <v>0</v>
      </c>
      <c r="N10" s="28" t="n">
        <v>0</v>
      </c>
      <c r="O10" s="35">
        <f>IFERROR(E10/M10-1,"")</f>
        <v/>
      </c>
      <c r="P10" s="28" t="n">
        <v>0</v>
      </c>
      <c r="Q10" s="35">
        <f>IFERROR(P10/E10-1,"")</f>
        <v/>
      </c>
    </row>
    <row r="12" ht="20" customHeight="1">
      <c r="A12" s="46" t="inlineStr">
        <is>
          <t>PORTFOLIO TOTALS</t>
        </is>
      </c>
      <c r="H12" s="47">
        <f>SUM(H5:H10)</f>
        <v/>
      </c>
      <c r="I12" s="47">
        <f>SUM(I5:I10)</f>
        <v/>
      </c>
      <c r="J12" s="47">
        <f>SUM(J5:J10)</f>
        <v/>
      </c>
      <c r="K12" s="48">
        <f>IFERROR(J12/H12,"")</f>
        <v/>
      </c>
    </row>
    <row r="14" ht="22" customHeight="1">
      <c r="A14" s="49" t="inlineStr">
        <is>
          <t>📌  INVESTMENT THESIS &amp; RESEARCH NOTES</t>
        </is>
      </c>
    </row>
    <row r="15" ht="18" customHeight="1">
      <c r="A15" s="40" t="inlineStr">
        <is>
          <t xml:space="preserve">  NVDA  —  NVIDIA Corp  |  Risk: Medium</t>
        </is>
      </c>
    </row>
    <row r="16" ht="52" customHeight="1">
      <c r="A16" s="41" t="inlineStr">
        <is>
          <t>The AI compute king. Stability and steady compounder.</t>
        </is>
      </c>
    </row>
    <row r="17" ht="18" customHeight="1">
      <c r="A17" s="40" t="inlineStr">
        <is>
          <t xml:space="preserve">  AVGO  —  Broadcom Inc  |  Risk: Medium</t>
        </is>
      </c>
    </row>
    <row r="18" ht="52" customHeight="1">
      <c r="A18" s="42" t="inlineStr">
        <is>
          <t>Stability and steady compounder.</t>
        </is>
      </c>
    </row>
    <row r="19" ht="18" customHeight="1">
      <c r="A19" s="40" t="inlineStr">
        <is>
          <t xml:space="preserve">  LRCX  —  Lam Research  |  Risk: Medium</t>
        </is>
      </c>
    </row>
    <row r="20" ht="52" customHeight="1">
      <c r="A20" s="41" t="inlineStr">
        <is>
          <t>Stability and steady compounder. DRAM equipment leader.</t>
        </is>
      </c>
    </row>
    <row r="21" ht="18" customHeight="1">
      <c r="A21" s="40" t="inlineStr">
        <is>
          <t xml:space="preserve">  AMD  —  Advanced Micro Devices  |  Risk: Medium</t>
        </is>
      </c>
    </row>
    <row r="22" ht="52" customHeight="1">
      <c r="A22" s="42" t="inlineStr">
        <is>
          <t>CPU maker deep in the AI infrastructure stack.</t>
        </is>
      </c>
    </row>
    <row r="23" ht="18" customHeight="1">
      <c r="A23" s="40" t="inlineStr">
        <is>
          <t xml:space="preserve">  INTC  —  Intel Corp  |  Risk: Med-High</t>
        </is>
      </c>
    </row>
    <row r="24" ht="52" customHeight="1">
      <c r="A24" s="41" t="inlineStr">
        <is>
          <t>CPU maker in AI infrastructure stack. Turnaround story.</t>
        </is>
      </c>
    </row>
    <row r="25" ht="18" customHeight="1">
      <c r="A25" s="40" t="inlineStr">
        <is>
          <t xml:space="preserve">  ARM  —  Arm Holdings  |  Risk: Medium</t>
        </is>
      </c>
    </row>
    <row r="26" ht="52" customHeight="1">
      <c r="A26" s="42" t="inlineStr">
        <is>
          <t>Architecture behind most AI edge chips. Royalty model.</t>
        </is>
      </c>
    </row>
  </sheetData>
  <mergeCells count="17">
    <mergeCell ref="A14:Q14"/>
    <mergeCell ref="A22:Q22"/>
    <mergeCell ref="A17:Q17"/>
    <mergeCell ref="A18:Q18"/>
    <mergeCell ref="A3:Q3"/>
    <mergeCell ref="A21:Q21"/>
    <mergeCell ref="A12:G12"/>
    <mergeCell ref="A20:Q20"/>
    <mergeCell ref="A24:Q24"/>
    <mergeCell ref="A2:Q2"/>
    <mergeCell ref="A16:Q16"/>
    <mergeCell ref="A15:Q15"/>
    <mergeCell ref="A26:Q26"/>
    <mergeCell ref="A25:Q25"/>
    <mergeCell ref="A19:Q19"/>
    <mergeCell ref="A1:Q1"/>
    <mergeCell ref="A23:Q23"/>
  </mergeCells>
  <conditionalFormatting sqref="J5:J10">
    <cfRule type="cellIs" priority="1" operator="greaterThan" dxfId="0">
      <formula>0</formula>
    </cfRule>
    <cfRule type="cellIs" priority="2" operator="lessThan" dxfId="1">
      <formula>0</formula>
    </cfRule>
  </conditionalFormatting>
  <conditionalFormatting sqref="K5:K10">
    <cfRule type="cellIs" priority="1" operator="greaterThan" dxfId="0">
      <formula>0</formula>
    </cfRule>
    <cfRule type="cellIs" priority="2" operator="lessThan" dxfId="1">
      <formula>0</formula>
    </cfRule>
  </conditionalFormatting>
  <pageMargins left="0.75" right="0.75" top="1" bottom="1" header="0.5" footer="0.5"/>
</worksheet>
</file>

<file path=xl/worksheets/sheet4.xml><?xml version="1.0" encoding="utf-8"?>
<worksheet xmlns="http://schemas.openxmlformats.org/spreadsheetml/2006/main">
  <sheetPr>
    <tabColor rgb="00C55A11"/>
    <outlinePr summaryBelow="1" summaryRight="1"/>
    <pageSetUpPr/>
  </sheetPr>
  <dimension ref="A1:Q29"/>
  <sheetViews>
    <sheetView workbookViewId="0">
      <pane ySplit="3" topLeftCell="A4" activePane="bottomLeft" state="frozen"/>
      <selection pane="bottomLeft" activeCell="A1" sqref="A1"/>
    </sheetView>
  </sheetViews>
  <sheetFormatPr baseColWidth="8" defaultRowHeight="15"/>
  <cols>
    <col width="10" customWidth="1" min="1" max="1"/>
    <col width="28"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s>
  <sheetData>
    <row r="1" ht="28" customHeight="1">
      <c r="A1" s="50" t="inlineStr">
        <is>
          <t>⚙️ AI Picks &amp; Shovels</t>
        </is>
      </c>
    </row>
    <row r="2" ht="18" customHeight="1">
      <c r="A2" s="25" t="inlineStr">
        <is>
          <t>Smaller-cap NVDA-adjacent setups — high risk, asymmetric upside</t>
        </is>
      </c>
    </row>
    <row r="3" ht="32" customHeight="1">
      <c r="A3" s="3" t="inlineStr">
        <is>
          <t>🟡 Yellow cells = your inputs  |  All other cells auto-calculate  |  📡 Prices fetched: May 06, 2026 at 10:30 PM</t>
        </is>
      </c>
    </row>
    <row r="4">
      <c r="A4" s="51" t="inlineStr">
        <is>
          <t>Ticker</t>
        </is>
      </c>
      <c r="B4" s="51" t="inlineStr">
        <is>
          <t>Company</t>
        </is>
      </c>
      <c r="C4" s="51" t="inlineStr">
        <is>
          <t>Focus / Niche</t>
        </is>
      </c>
      <c r="D4" s="51" t="inlineStr">
        <is>
          <t>Risk</t>
        </is>
      </c>
      <c r="E4" s="51" t="inlineStr">
        <is>
          <t>Current
Price</t>
        </is>
      </c>
      <c r="F4" s="51" t="inlineStr">
        <is>
          <t>Today's
+/- %</t>
        </is>
      </c>
      <c r="G4" s="51" t="inlineStr">
        <is>
          <t>Purchase
Price</t>
        </is>
      </c>
      <c r="H4" s="51" t="inlineStr">
        <is>
          <t>Shares
Owned</t>
        </is>
      </c>
      <c r="I4" s="51" t="inlineStr">
        <is>
          <t>Total
Cost</t>
        </is>
      </c>
      <c r="J4" s="51" t="inlineStr">
        <is>
          <t>Current
Value</t>
        </is>
      </c>
      <c r="K4" s="51" t="inlineStr">
        <is>
          <t>P&amp;L ($)</t>
        </is>
      </c>
      <c r="L4" s="51" t="inlineStr">
        <is>
          <t>P&amp;L (%)</t>
        </is>
      </c>
      <c r="M4" s="51" t="inlineStr">
        <is>
          <t>52W
High</t>
        </is>
      </c>
      <c r="N4" s="51" t="inlineStr">
        <is>
          <t>52W
Low</t>
        </is>
      </c>
      <c r="O4" s="51" t="inlineStr">
        <is>
          <t>% from
52W High</t>
        </is>
      </c>
      <c r="P4" s="51" t="inlineStr">
        <is>
          <t>Analyst
Target</t>
        </is>
      </c>
      <c r="Q4" s="51" t="inlineStr">
        <is>
          <t>Upside to
Target</t>
        </is>
      </c>
    </row>
    <row r="5">
      <c r="A5" s="27" t="inlineStr">
        <is>
          <t>NVTS</t>
        </is>
      </c>
      <c r="B5" s="10" t="inlineStr">
        <is>
          <t>Navitas Semiconductor</t>
        </is>
      </c>
      <c r="C5" s="10" t="inlineStr">
        <is>
          <t>GaN power chips for AI data centers</t>
        </is>
      </c>
      <c r="D5" s="9" t="inlineStr">
        <is>
          <t>High</t>
        </is>
      </c>
      <c r="E5" s="28" t="n">
        <v>16.68</v>
      </c>
      <c r="F5" s="29" t="n">
        <v>1.27504739025976</v>
      </c>
      <c r="G5" s="28" t="n">
        <v>0</v>
      </c>
      <c r="H5" s="30" t="n">
        <v>0</v>
      </c>
      <c r="I5" s="31">
        <f>G5*H5</f>
        <v/>
      </c>
      <c r="J5" s="31">
        <f>E5*H5</f>
        <v/>
      </c>
      <c r="K5" s="31">
        <f>J5-I5</f>
        <v/>
      </c>
      <c r="L5" s="32">
        <f>IFERROR(K5/I5,"")</f>
        <v/>
      </c>
      <c r="M5" s="28" t="n">
        <v>0</v>
      </c>
      <c r="N5" s="28" t="n">
        <v>0</v>
      </c>
      <c r="O5" s="32">
        <f>IFERROR(E5/M5-1,"")</f>
        <v/>
      </c>
      <c r="P5" s="28" t="n">
        <v>0</v>
      </c>
      <c r="Q5" s="32">
        <f>IFERROR(P5/E5-1,"")</f>
        <v/>
      </c>
    </row>
    <row r="6">
      <c r="A6" s="33" t="inlineStr">
        <is>
          <t>AEHR</t>
        </is>
      </c>
      <c r="B6" s="7" t="inlineStr">
        <is>
          <t>AEHR Test Systems</t>
        </is>
      </c>
      <c r="C6" s="7" t="inlineStr">
        <is>
          <t>Semiconductor burn-in &amp; test equipment</t>
        </is>
      </c>
      <c r="D6" s="6" t="inlineStr">
        <is>
          <t>High</t>
        </is>
      </c>
      <c r="E6" s="28" t="n">
        <v>96.73</v>
      </c>
      <c r="F6" s="29" t="n">
        <v>6.176529155937345</v>
      </c>
      <c r="G6" s="28" t="n">
        <v>0</v>
      </c>
      <c r="H6" s="30" t="n">
        <v>0</v>
      </c>
      <c r="I6" s="34">
        <f>G6*H6</f>
        <v/>
      </c>
      <c r="J6" s="34">
        <f>E6*H6</f>
        <v/>
      </c>
      <c r="K6" s="34">
        <f>J6-I6</f>
        <v/>
      </c>
      <c r="L6" s="35">
        <f>IFERROR(K6/I6,"")</f>
        <v/>
      </c>
      <c r="M6" s="28" t="n">
        <v>0</v>
      </c>
      <c r="N6" s="28" t="n">
        <v>0</v>
      </c>
      <c r="O6" s="35">
        <f>IFERROR(E6/M6-1,"")</f>
        <v/>
      </c>
      <c r="P6" s="28" t="n">
        <v>0</v>
      </c>
      <c r="Q6" s="35">
        <f>IFERROR(P6/E6-1,"")</f>
        <v/>
      </c>
    </row>
    <row r="7">
      <c r="A7" s="27" t="inlineStr">
        <is>
          <t>CRDO</t>
        </is>
      </c>
      <c r="B7" s="10" t="inlineStr">
        <is>
          <t>Credo Technology</t>
        </is>
      </c>
      <c r="C7" s="10" t="inlineStr">
        <is>
          <t>High-speed connectivity / SerDes for AI DCs</t>
        </is>
      </c>
      <c r="D7" s="9" t="inlineStr">
        <is>
          <t>High</t>
        </is>
      </c>
      <c r="E7" s="28" t="n">
        <v>198.29</v>
      </c>
      <c r="F7" s="45" t="n">
        <v>-0.1057968331824622</v>
      </c>
      <c r="G7" s="28" t="n">
        <v>0</v>
      </c>
      <c r="H7" s="30" t="n">
        <v>0</v>
      </c>
      <c r="I7" s="31">
        <f>G7*H7</f>
        <v/>
      </c>
      <c r="J7" s="31">
        <f>E7*H7</f>
        <v/>
      </c>
      <c r="K7" s="31">
        <f>J7-I7</f>
        <v/>
      </c>
      <c r="L7" s="32">
        <f>IFERROR(K7/I7,"")</f>
        <v/>
      </c>
      <c r="M7" s="28" t="n">
        <v>0</v>
      </c>
      <c r="N7" s="28" t="n">
        <v>0</v>
      </c>
      <c r="O7" s="32">
        <f>IFERROR(E7/M7-1,"")</f>
        <v/>
      </c>
      <c r="P7" s="28" t="n">
        <v>0</v>
      </c>
      <c r="Q7" s="32">
        <f>IFERROR(P7/E7-1,"")</f>
        <v/>
      </c>
    </row>
    <row r="8">
      <c r="A8" s="33" t="inlineStr">
        <is>
          <t>ALGM</t>
        </is>
      </c>
      <c r="B8" s="7" t="inlineStr">
        <is>
          <t>Allegro MicroSystems</t>
        </is>
      </c>
      <c r="C8" s="7" t="inlineStr">
        <is>
          <t>Power &amp; sensing semiconductors</t>
        </is>
      </c>
      <c r="D8" s="6" t="inlineStr">
        <is>
          <t>Med-High</t>
        </is>
      </c>
      <c r="E8" s="28" t="n">
        <v>51.37</v>
      </c>
      <c r="F8" s="29" t="n">
        <v>2.7541779403253</v>
      </c>
      <c r="G8" s="28" t="n">
        <v>0</v>
      </c>
      <c r="H8" s="30" t="n">
        <v>0</v>
      </c>
      <c r="I8" s="34">
        <f>G8*H8</f>
        <v/>
      </c>
      <c r="J8" s="34">
        <f>E8*H8</f>
        <v/>
      </c>
      <c r="K8" s="34">
        <f>J8-I8</f>
        <v/>
      </c>
      <c r="L8" s="35">
        <f>IFERROR(K8/I8,"")</f>
        <v/>
      </c>
      <c r="M8" s="28" t="n">
        <v>0</v>
      </c>
      <c r="N8" s="28" t="n">
        <v>0</v>
      </c>
      <c r="O8" s="35">
        <f>IFERROR(E8/M8-1,"")</f>
        <v/>
      </c>
      <c r="P8" s="28" t="n">
        <v>0</v>
      </c>
      <c r="Q8" s="35">
        <f>IFERROR(P8/E8-1,"")</f>
        <v/>
      </c>
    </row>
    <row r="9">
      <c r="A9" s="27" t="inlineStr">
        <is>
          <t>HIMX</t>
        </is>
      </c>
      <c r="B9" s="10" t="inlineStr">
        <is>
          <t>Himax Technologies</t>
        </is>
      </c>
      <c r="C9" s="10" t="inlineStr">
        <is>
          <t>Display drivers + AR/AI vision chips</t>
        </is>
      </c>
      <c r="D9" s="9" t="inlineStr">
        <is>
          <t>High</t>
        </is>
      </c>
      <c r="E9" s="28" t="n">
        <v>12.33</v>
      </c>
      <c r="F9" s="45" t="n">
        <v>-0.2830576327856492</v>
      </c>
      <c r="G9" s="28" t="n">
        <v>0</v>
      </c>
      <c r="H9" s="30" t="n">
        <v>0</v>
      </c>
      <c r="I9" s="31">
        <f>G9*H9</f>
        <v/>
      </c>
      <c r="J9" s="31">
        <f>E9*H9</f>
        <v/>
      </c>
      <c r="K9" s="31">
        <f>J9-I9</f>
        <v/>
      </c>
      <c r="L9" s="32">
        <f>IFERROR(K9/I9,"")</f>
        <v/>
      </c>
      <c r="M9" s="28" t="n">
        <v>0</v>
      </c>
      <c r="N9" s="28" t="n">
        <v>0</v>
      </c>
      <c r="O9" s="32">
        <f>IFERROR(E9/M9-1,"")</f>
        <v/>
      </c>
      <c r="P9" s="28" t="n">
        <v>0</v>
      </c>
      <c r="Q9" s="32">
        <f>IFERROR(P9/E9-1,"")</f>
        <v/>
      </c>
    </row>
    <row r="10">
      <c r="A10" s="33" t="inlineStr">
        <is>
          <t>MTSI</t>
        </is>
      </c>
      <c r="B10" s="7" t="inlineStr">
        <is>
          <t>MACOM Technology</t>
        </is>
      </c>
      <c r="C10" s="7" t="inlineStr">
        <is>
          <t>RF, microwave, high-speed analog chips</t>
        </is>
      </c>
      <c r="D10" s="6" t="inlineStr">
        <is>
          <t>Med-High</t>
        </is>
      </c>
      <c r="E10" s="28" t="n">
        <v>309.81</v>
      </c>
      <c r="F10" s="29" t="n">
        <v>2.75621809571932</v>
      </c>
      <c r="G10" s="28" t="n">
        <v>0</v>
      </c>
      <c r="H10" s="30" t="n">
        <v>0</v>
      </c>
      <c r="I10" s="34">
        <f>G10*H10</f>
        <v/>
      </c>
      <c r="J10" s="34">
        <f>E10*H10</f>
        <v/>
      </c>
      <c r="K10" s="34">
        <f>J10-I10</f>
        <v/>
      </c>
      <c r="L10" s="35">
        <f>IFERROR(K10/I10,"")</f>
        <v/>
      </c>
      <c r="M10" s="28" t="n">
        <v>0</v>
      </c>
      <c r="N10" s="28" t="n">
        <v>0</v>
      </c>
      <c r="O10" s="35">
        <f>IFERROR(E10/M10-1,"")</f>
        <v/>
      </c>
      <c r="P10" s="28" t="n">
        <v>0</v>
      </c>
      <c r="Q10" s="35">
        <f>IFERROR(P10/E10-1,"")</f>
        <v/>
      </c>
    </row>
    <row r="11">
      <c r="A11" s="27" t="inlineStr">
        <is>
          <t>AEVA</t>
        </is>
      </c>
      <c r="B11" s="10" t="inlineStr">
        <is>
          <t>Aeva Technologies</t>
        </is>
      </c>
      <c r="C11" s="10" t="inlineStr">
        <is>
          <t>Lidar + sensing for autonomous systems</t>
        </is>
      </c>
      <c r="D11" s="9" t="inlineStr">
        <is>
          <t>Very High</t>
        </is>
      </c>
      <c r="E11" s="28" t="n">
        <v>16.57</v>
      </c>
      <c r="F11" s="29" t="n">
        <v>7.110534549607098</v>
      </c>
      <c r="G11" s="28" t="n">
        <v>0</v>
      </c>
      <c r="H11" s="30" t="n">
        <v>0</v>
      </c>
      <c r="I11" s="31">
        <f>G11*H11</f>
        <v/>
      </c>
      <c r="J11" s="31">
        <f>E11*H11</f>
        <v/>
      </c>
      <c r="K11" s="31">
        <f>J11-I11</f>
        <v/>
      </c>
      <c r="L11" s="32">
        <f>IFERROR(K11/I11,"")</f>
        <v/>
      </c>
      <c r="M11" s="28" t="n">
        <v>0</v>
      </c>
      <c r="N11" s="28" t="n">
        <v>0</v>
      </c>
      <c r="O11" s="32">
        <f>IFERROR(E11/M11-1,"")</f>
        <v/>
      </c>
      <c r="P11" s="28" t="n">
        <v>0</v>
      </c>
      <c r="Q11" s="32">
        <f>IFERROR(P11/E11-1,"")</f>
        <v/>
      </c>
    </row>
    <row r="13" ht="20" customHeight="1">
      <c r="A13" s="52" t="inlineStr">
        <is>
          <t>PORTFOLIO TOTALS</t>
        </is>
      </c>
      <c r="H13" s="53">
        <f>SUM(H5:H11)</f>
        <v/>
      </c>
      <c r="I13" s="53">
        <f>SUM(I5:I11)</f>
        <v/>
      </c>
      <c r="J13" s="53">
        <f>SUM(J5:J11)</f>
        <v/>
      </c>
      <c r="K13" s="54">
        <f>IFERROR(J13/H13,"")</f>
        <v/>
      </c>
    </row>
    <row r="15" ht="22" customHeight="1">
      <c r="A15" s="55" t="inlineStr">
        <is>
          <t>📌  INVESTMENT THESIS &amp; RESEARCH NOTES</t>
        </is>
      </c>
    </row>
    <row r="16" ht="18" customHeight="1">
      <c r="A16" s="40" t="inlineStr">
        <is>
          <t xml:space="preserve">  NVTS  —  Navitas Semiconductor  |  Risk: High</t>
        </is>
      </c>
    </row>
    <row r="17" ht="52" customHeight="1">
      <c r="A17" s="41" t="inlineStr">
        <is>
          <t>AI data centers need radically more efficient power delivery. Picks-and-shovels for compute growth.</t>
        </is>
      </c>
    </row>
    <row r="18" ht="18" customHeight="1">
      <c r="A18" s="40" t="inlineStr">
        <is>
          <t xml:space="preserve">  AEHR  —  AEHR Test Systems  |  Risk: High</t>
        </is>
      </c>
    </row>
    <row r="19" ht="52" customHeight="1">
      <c r="A19" s="42" t="inlineStr">
        <is>
          <t>Classic shovels in a gold rush. More AI chips = more testing bottleneck demand.</t>
        </is>
      </c>
    </row>
    <row r="20" ht="18" customHeight="1">
      <c r="A20" s="40" t="inlineStr">
        <is>
          <t xml:space="preserve">  CRDO  —  Credo Technology  |  Risk: High</t>
        </is>
      </c>
    </row>
    <row r="21" ht="52" customHeight="1">
      <c r="A21" s="41" t="inlineStr">
        <is>
          <t>GPUs don't matter if data can't move between them. Cleanest AI infrastructure picks-and-shovels name.</t>
        </is>
      </c>
    </row>
    <row r="22" ht="18" customHeight="1">
      <c r="A22" s="40" t="inlineStr">
        <is>
          <t xml:space="preserve">  ALGM  —  Allegro MicroSystems  |  Risk: Med-High</t>
        </is>
      </c>
    </row>
    <row r="23" ht="52" customHeight="1">
      <c r="A23" s="42" t="inlineStr">
        <is>
          <t>Electrification + AI hardware power efficiency. Quiet compounder, early in AI rerating narrative.</t>
        </is>
      </c>
    </row>
    <row r="24" ht="18" customHeight="1">
      <c r="A24" s="40" t="inlineStr">
        <is>
          <t xml:space="preserve">  HIMX  —  Himax Technologies  |  Risk: High</t>
        </is>
      </c>
    </row>
    <row r="25" ht="52" customHeight="1">
      <c r="A25" s="41" t="inlineStr">
        <is>
          <t>Exposure to AI edge devices + optics. Higher volatility, historically rerates fast on cycles.</t>
        </is>
      </c>
    </row>
    <row r="26" ht="18" customHeight="1">
      <c r="A26" s="40" t="inlineStr">
        <is>
          <t xml:space="preserve">  MTSI  —  MACOM Technology  |  Risk: Med-High</t>
        </is>
      </c>
    </row>
    <row r="27" ht="52" customHeight="1">
      <c r="A27" s="42" t="inlineStr">
        <is>
          <t>AI datacenter interconnect + telecom backbone. Less hype, more industrial AI backbone exposure.</t>
        </is>
      </c>
    </row>
    <row r="28" ht="18" customHeight="1">
      <c r="A28" s="40" t="inlineStr">
        <is>
          <t xml:space="preserve">  AEVA  —  Aeva Technologies  |  Risk: Very High</t>
        </is>
      </c>
    </row>
    <row r="29" ht="52" customHeight="1">
      <c r="A29" s="41" t="inlineStr">
        <is>
          <t>Autonomous systems + robotics long tail. Pure asymmetric bet: low probability, high upside.</t>
        </is>
      </c>
    </row>
  </sheetData>
  <mergeCells count="19">
    <mergeCell ref="A24:Q24"/>
    <mergeCell ref="A15:Q15"/>
    <mergeCell ref="A1:Q1"/>
    <mergeCell ref="A13:G13"/>
    <mergeCell ref="A16:Q16"/>
    <mergeCell ref="A25:Q25"/>
    <mergeCell ref="A18:Q18"/>
    <mergeCell ref="A27:Q27"/>
    <mergeCell ref="A3:Q3"/>
    <mergeCell ref="A21:Q21"/>
    <mergeCell ref="A26:Q26"/>
    <mergeCell ref="A2:Q2"/>
    <mergeCell ref="A23:Q23"/>
    <mergeCell ref="A22:Q22"/>
    <mergeCell ref="A17:Q17"/>
    <mergeCell ref="A29:Q29"/>
    <mergeCell ref="A20:Q20"/>
    <mergeCell ref="A28:Q28"/>
    <mergeCell ref="A19:Q19"/>
  </mergeCells>
  <conditionalFormatting sqref="J5:J11">
    <cfRule type="cellIs" priority="1" operator="greaterThan" dxfId="0">
      <formula>0</formula>
    </cfRule>
    <cfRule type="cellIs" priority="2" operator="lessThan" dxfId="1">
      <formula>0</formula>
    </cfRule>
  </conditionalFormatting>
  <conditionalFormatting sqref="K5:K11">
    <cfRule type="cellIs" priority="1" operator="greaterThan" dxfId="0">
      <formula>0</formula>
    </cfRule>
    <cfRule type="cellIs" priority="2" operator="lessThan" dxfId="1">
      <formula>0</formula>
    </cfRule>
  </conditionalFormatting>
  <pageMargins left="0.75" right="0.75" top="1" bottom="1" header="0.5" footer="0.5"/>
</worksheet>
</file>

<file path=xl/worksheets/sheet5.xml><?xml version="1.0" encoding="utf-8"?>
<worksheet xmlns="http://schemas.openxmlformats.org/spreadsheetml/2006/main">
  <sheetPr>
    <tabColor rgb="0000B0F0"/>
    <outlinePr summaryBelow="1" summaryRight="1"/>
    <pageSetUpPr/>
  </sheetPr>
  <dimension ref="A1:Q11"/>
  <sheetViews>
    <sheetView workbookViewId="0">
      <pane ySplit="3" topLeftCell="A4" activePane="bottomLeft" state="frozen"/>
      <selection pane="bottomLeft" activeCell="A1" sqref="A1"/>
    </sheetView>
  </sheetViews>
  <sheetFormatPr baseColWidth="8" defaultRowHeight="15"/>
  <cols>
    <col width="10" customWidth="1" min="1" max="1"/>
    <col width="28"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s>
  <sheetData>
    <row r="1" ht="28" customHeight="1">
      <c r="A1" s="56" t="inlineStr">
        <is>
          <t>💡 Photonics &amp; Optics</t>
        </is>
      </c>
    </row>
    <row r="2" ht="18" customHeight="1">
      <c r="A2" s="25" t="inlineStr">
        <is>
          <t>Optical networking — key bottleneck in AI data center interconnect</t>
        </is>
      </c>
    </row>
    <row r="3" ht="32" customHeight="1">
      <c r="A3" s="3" t="inlineStr">
        <is>
          <t>🟡 Yellow cells = your inputs  |  All other cells auto-calculate  |  📡 Prices fetched: May 06, 2026 at 10:30 PM</t>
        </is>
      </c>
    </row>
    <row r="4">
      <c r="A4" s="57" t="inlineStr">
        <is>
          <t>Ticker</t>
        </is>
      </c>
      <c r="B4" s="57" t="inlineStr">
        <is>
          <t>Company</t>
        </is>
      </c>
      <c r="C4" s="57" t="inlineStr">
        <is>
          <t>Focus / Niche</t>
        </is>
      </c>
      <c r="D4" s="57" t="inlineStr">
        <is>
          <t>Risk</t>
        </is>
      </c>
      <c r="E4" s="57" t="inlineStr">
        <is>
          <t>Current
Price</t>
        </is>
      </c>
      <c r="F4" s="57" t="inlineStr">
        <is>
          <t>Today's
+/- %</t>
        </is>
      </c>
      <c r="G4" s="57" t="inlineStr">
        <is>
          <t>Purchase
Price</t>
        </is>
      </c>
      <c r="H4" s="57" t="inlineStr">
        <is>
          <t>Shares
Owned</t>
        </is>
      </c>
      <c r="I4" s="57" t="inlineStr">
        <is>
          <t>Total
Cost</t>
        </is>
      </c>
      <c r="J4" s="57" t="inlineStr">
        <is>
          <t>Current
Value</t>
        </is>
      </c>
      <c r="K4" s="57" t="inlineStr">
        <is>
          <t>P&amp;L ($)</t>
        </is>
      </c>
      <c r="L4" s="57" t="inlineStr">
        <is>
          <t>P&amp;L (%)</t>
        </is>
      </c>
      <c r="M4" s="57" t="inlineStr">
        <is>
          <t>52W
High</t>
        </is>
      </c>
      <c r="N4" s="57" t="inlineStr">
        <is>
          <t>52W
Low</t>
        </is>
      </c>
      <c r="O4" s="57" t="inlineStr">
        <is>
          <t>% from
52W High</t>
        </is>
      </c>
      <c r="P4" s="57" t="inlineStr">
        <is>
          <t>Analyst
Target</t>
        </is>
      </c>
      <c r="Q4" s="57" t="inlineStr">
        <is>
          <t>Upside to
Target</t>
        </is>
      </c>
    </row>
    <row r="5">
      <c r="A5" s="27" t="inlineStr">
        <is>
          <t>LITE</t>
        </is>
      </c>
      <c r="B5" s="10" t="inlineStr">
        <is>
          <t>Lumentum Holdings</t>
        </is>
      </c>
      <c r="C5" s="10" t="inlineStr">
        <is>
          <t>Photonics, optical components for AI DCs</t>
        </is>
      </c>
      <c r="D5" s="9" t="inlineStr">
        <is>
          <t>High</t>
        </is>
      </c>
      <c r="E5" s="28" t="n">
        <v>944.28</v>
      </c>
      <c r="F5" s="45" t="n">
        <v>-1.642619728464659</v>
      </c>
      <c r="G5" s="28" t="n">
        <v>0</v>
      </c>
      <c r="H5" s="30" t="n">
        <v>0</v>
      </c>
      <c r="I5" s="31">
        <f>G5*H5</f>
        <v/>
      </c>
      <c r="J5" s="31">
        <f>E5*H5</f>
        <v/>
      </c>
      <c r="K5" s="31">
        <f>J5-I5</f>
        <v/>
      </c>
      <c r="L5" s="32">
        <f>IFERROR(K5/I5,"")</f>
        <v/>
      </c>
      <c r="M5" s="28" t="n">
        <v>0</v>
      </c>
      <c r="N5" s="28" t="n">
        <v>0</v>
      </c>
      <c r="O5" s="32">
        <f>IFERROR(E5/M5-1,"")</f>
        <v/>
      </c>
      <c r="P5" s="28" t="n">
        <v>0</v>
      </c>
      <c r="Q5" s="32">
        <f>IFERROR(P5/E5-1,"")</f>
        <v/>
      </c>
    </row>
    <row r="7" ht="20" customHeight="1">
      <c r="A7" s="58" t="inlineStr">
        <is>
          <t>PORTFOLIO TOTALS</t>
        </is>
      </c>
      <c r="H7" s="59">
        <f>SUM(H5:H5)</f>
        <v/>
      </c>
      <c r="I7" s="59">
        <f>SUM(I5:I5)</f>
        <v/>
      </c>
      <c r="J7" s="59">
        <f>SUM(J5:J5)</f>
        <v/>
      </c>
      <c r="K7" s="60">
        <f>IFERROR(J7/H7,"")</f>
        <v/>
      </c>
    </row>
    <row r="9" ht="22" customHeight="1">
      <c r="A9" s="61" t="inlineStr">
        <is>
          <t>📌  INVESTMENT THESIS &amp; RESEARCH NOTES</t>
        </is>
      </c>
    </row>
    <row r="10" ht="18" customHeight="1">
      <c r="A10" s="40" t="inlineStr">
        <is>
          <t xml:space="preserve">  LITE  —  Lumentum Holdings  |  Risk: High</t>
        </is>
      </c>
    </row>
    <row r="11" ht="52" customHeight="1">
      <c r="A11" s="41" t="inlineStr">
        <is>
          <t>King of Photonics. Could moonshot. Key bottleneck in AI data movement. Critical infrastructure.</t>
        </is>
      </c>
    </row>
  </sheetData>
  <mergeCells count="7">
    <mergeCell ref="A9:Q9"/>
    <mergeCell ref="A3:Q3"/>
    <mergeCell ref="A2:Q2"/>
    <mergeCell ref="A10:Q10"/>
    <mergeCell ref="A7:G7"/>
    <mergeCell ref="A11:Q11"/>
    <mergeCell ref="A1:Q1"/>
  </mergeCells>
  <conditionalFormatting sqref="J5">
    <cfRule type="cellIs" priority="1" operator="greaterThan" dxfId="0">
      <formula>0</formula>
    </cfRule>
    <cfRule type="cellIs" priority="2" operator="lessThan" dxfId="1">
      <formula>0</formula>
    </cfRule>
  </conditionalFormatting>
  <conditionalFormatting sqref="K5">
    <cfRule type="cellIs" priority="1" operator="greaterThan" dxfId="0">
      <formula>0</formula>
    </cfRule>
    <cfRule type="cellIs" priority="2" operator="lessThan" dxfId="1">
      <formula>0</formula>
    </cfRule>
  </conditionalFormatting>
  <pageMargins left="0.75" right="0.75" top="1" bottom="1" header="0.5" footer="0.5"/>
</worksheet>
</file>

<file path=xl/worksheets/sheet6.xml><?xml version="1.0" encoding="utf-8"?>
<worksheet xmlns="http://schemas.openxmlformats.org/spreadsheetml/2006/main">
  <sheetPr>
    <tabColor rgb="00375623"/>
    <outlinePr summaryBelow="1" summaryRight="1"/>
    <pageSetUpPr/>
  </sheetPr>
  <dimension ref="A1:Q20"/>
  <sheetViews>
    <sheetView workbookViewId="0">
      <pane ySplit="3" topLeftCell="A4" activePane="bottomLeft" state="frozen"/>
      <selection pane="bottomLeft" activeCell="A1" sqref="A1"/>
    </sheetView>
  </sheetViews>
  <sheetFormatPr baseColWidth="8" defaultRowHeight="15"/>
  <cols>
    <col width="10" customWidth="1" min="1" max="1"/>
    <col width="28"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s>
  <sheetData>
    <row r="1" ht="28" customHeight="1">
      <c r="A1" s="62" t="inlineStr">
        <is>
          <t>🏗️ DC Builders &amp; Cooling</t>
        </is>
      </c>
    </row>
    <row r="2" ht="18" customHeight="1">
      <c r="A2" s="25" t="inlineStr">
        <is>
          <t>Builders, materials, and cooling companies powering AI data center construction</t>
        </is>
      </c>
    </row>
    <row r="3" ht="32" customHeight="1">
      <c r="A3" s="3" t="inlineStr">
        <is>
          <t>🟡 Yellow cells = your inputs  |  All other cells auto-calculate  |  📡 Prices fetched: May 06, 2026 at 10:30 PM</t>
        </is>
      </c>
    </row>
    <row r="4">
      <c r="A4" s="63" t="inlineStr">
        <is>
          <t>Ticker</t>
        </is>
      </c>
      <c r="B4" s="63" t="inlineStr">
        <is>
          <t>Company</t>
        </is>
      </c>
      <c r="C4" s="63" t="inlineStr">
        <is>
          <t>Focus / Niche</t>
        </is>
      </c>
      <c r="D4" s="63" t="inlineStr">
        <is>
          <t>Risk</t>
        </is>
      </c>
      <c r="E4" s="63" t="inlineStr">
        <is>
          <t>Current
Price</t>
        </is>
      </c>
      <c r="F4" s="63" t="inlineStr">
        <is>
          <t>Today's
+/- %</t>
        </is>
      </c>
      <c r="G4" s="63" t="inlineStr">
        <is>
          <t>Purchase
Price</t>
        </is>
      </c>
      <c r="H4" s="63" t="inlineStr">
        <is>
          <t>Shares
Owned</t>
        </is>
      </c>
      <c r="I4" s="63" t="inlineStr">
        <is>
          <t>Total
Cost</t>
        </is>
      </c>
      <c r="J4" s="63" t="inlineStr">
        <is>
          <t>Current
Value</t>
        </is>
      </c>
      <c r="K4" s="63" t="inlineStr">
        <is>
          <t>P&amp;L ($)</t>
        </is>
      </c>
      <c r="L4" s="63" t="inlineStr">
        <is>
          <t>P&amp;L (%)</t>
        </is>
      </c>
      <c r="M4" s="63" t="inlineStr">
        <is>
          <t>52W
High</t>
        </is>
      </c>
      <c r="N4" s="63" t="inlineStr">
        <is>
          <t>52W
Low</t>
        </is>
      </c>
      <c r="O4" s="63" t="inlineStr">
        <is>
          <t>% from
52W High</t>
        </is>
      </c>
      <c r="P4" s="63" t="inlineStr">
        <is>
          <t>Analyst
Target</t>
        </is>
      </c>
      <c r="Q4" s="63" t="inlineStr">
        <is>
          <t>Upside to
Target</t>
        </is>
      </c>
    </row>
    <row r="5">
      <c r="A5" s="27" t="inlineStr">
        <is>
          <t>CAT</t>
        </is>
      </c>
      <c r="B5" s="10" t="inlineStr">
        <is>
          <t>Caterpillar Inc</t>
        </is>
      </c>
      <c r="C5" s="10" t="inlineStr">
        <is>
          <t>Heavy equipment, construction</t>
        </is>
      </c>
      <c r="D5" s="9" t="inlineStr">
        <is>
          <t>Low-Med</t>
        </is>
      </c>
      <c r="E5" s="28" t="n">
        <v>926.9299999999999</v>
      </c>
      <c r="F5" s="29" t="n">
        <v>1.762031516311836</v>
      </c>
      <c r="G5" s="28" t="n">
        <v>0</v>
      </c>
      <c r="H5" s="30" t="n">
        <v>0</v>
      </c>
      <c r="I5" s="31">
        <f>G5*H5</f>
        <v/>
      </c>
      <c r="J5" s="31">
        <f>E5*H5</f>
        <v/>
      </c>
      <c r="K5" s="31">
        <f>J5-I5</f>
        <v/>
      </c>
      <c r="L5" s="32">
        <f>IFERROR(K5/I5,"")</f>
        <v/>
      </c>
      <c r="M5" s="28" t="n">
        <v>0</v>
      </c>
      <c r="N5" s="28" t="n">
        <v>0</v>
      </c>
      <c r="O5" s="32">
        <f>IFERROR(E5/M5-1,"")</f>
        <v/>
      </c>
      <c r="P5" s="28" t="n">
        <v>0</v>
      </c>
      <c r="Q5" s="32">
        <f>IFERROR(P5/E5-1,"")</f>
        <v/>
      </c>
    </row>
    <row r="6">
      <c r="A6" s="33" t="inlineStr">
        <is>
          <t>FIX</t>
        </is>
      </c>
      <c r="B6" s="7" t="inlineStr">
        <is>
          <t>Comfort Systems USA</t>
        </is>
      </c>
      <c r="C6" s="7" t="inlineStr">
        <is>
          <t>HVAC, mechanical, electrical for DCs</t>
        </is>
      </c>
      <c r="D6" s="6" t="inlineStr">
        <is>
          <t>Medium</t>
        </is>
      </c>
      <c r="E6" s="28" t="n">
        <v>2011.49</v>
      </c>
      <c r="F6" s="29" t="n">
        <v>1.284503883945205</v>
      </c>
      <c r="G6" s="28" t="n">
        <v>0</v>
      </c>
      <c r="H6" s="30" t="n">
        <v>0</v>
      </c>
      <c r="I6" s="34">
        <f>G6*H6</f>
        <v/>
      </c>
      <c r="J6" s="34">
        <f>E6*H6</f>
        <v/>
      </c>
      <c r="K6" s="34">
        <f>J6-I6</f>
        <v/>
      </c>
      <c r="L6" s="35">
        <f>IFERROR(K6/I6,"")</f>
        <v/>
      </c>
      <c r="M6" s="28" t="n">
        <v>0</v>
      </c>
      <c r="N6" s="28" t="n">
        <v>0</v>
      </c>
      <c r="O6" s="35">
        <f>IFERROR(E6/M6-1,"")</f>
        <v/>
      </c>
      <c r="P6" s="28" t="n">
        <v>0</v>
      </c>
      <c r="Q6" s="35">
        <f>IFERROR(P6/E6-1,"")</f>
        <v/>
      </c>
    </row>
    <row r="7">
      <c r="A7" s="27" t="inlineStr">
        <is>
          <t>POWL</t>
        </is>
      </c>
      <c r="B7" s="10" t="inlineStr">
        <is>
          <t>Powell Industries</t>
        </is>
      </c>
      <c r="C7" s="10" t="inlineStr">
        <is>
          <t>Electrical infrastructure for DCs</t>
        </is>
      </c>
      <c r="D7" s="9" t="inlineStr">
        <is>
          <t>Medium</t>
        </is>
      </c>
      <c r="E7" s="28" t="n">
        <v>320.3</v>
      </c>
      <c r="F7" s="29" t="n">
        <v>6.766662597656251</v>
      </c>
      <c r="G7" s="28" t="n">
        <v>0</v>
      </c>
      <c r="H7" s="30" t="n">
        <v>0</v>
      </c>
      <c r="I7" s="31">
        <f>G7*H7</f>
        <v/>
      </c>
      <c r="J7" s="31">
        <f>E7*H7</f>
        <v/>
      </c>
      <c r="K7" s="31">
        <f>J7-I7</f>
        <v/>
      </c>
      <c r="L7" s="32">
        <f>IFERROR(K7/I7,"")</f>
        <v/>
      </c>
      <c r="M7" s="28" t="n">
        <v>0</v>
      </c>
      <c r="N7" s="28" t="n">
        <v>0</v>
      </c>
      <c r="O7" s="32">
        <f>IFERROR(E7/M7-1,"")</f>
        <v/>
      </c>
      <c r="P7" s="28" t="n">
        <v>0</v>
      </c>
      <c r="Q7" s="32">
        <f>IFERROR(P7/E7-1,"")</f>
        <v/>
      </c>
    </row>
    <row r="8">
      <c r="A8" s="33" t="inlineStr">
        <is>
          <t>VRT</t>
        </is>
      </c>
      <c r="B8" s="7" t="inlineStr">
        <is>
          <t>Vertiv Holdings</t>
        </is>
      </c>
      <c r="C8" s="7" t="inlineStr">
        <is>
          <t>Cooling systems for AI data centers</t>
        </is>
      </c>
      <c r="D8" s="6" t="inlineStr">
        <is>
          <t>Medium</t>
        </is>
      </c>
      <c r="E8" s="28" t="n">
        <v>358.92</v>
      </c>
      <c r="F8" s="29" t="n">
        <v>2.939746301010801</v>
      </c>
      <c r="G8" s="28" t="n">
        <v>0</v>
      </c>
      <c r="H8" s="30" t="n">
        <v>0</v>
      </c>
      <c r="I8" s="34">
        <f>G8*H8</f>
        <v/>
      </c>
      <c r="J8" s="34">
        <f>E8*H8</f>
        <v/>
      </c>
      <c r="K8" s="34">
        <f>J8-I8</f>
        <v/>
      </c>
      <c r="L8" s="35">
        <f>IFERROR(K8/I8,"")</f>
        <v/>
      </c>
      <c r="M8" s="28" t="n">
        <v>0</v>
      </c>
      <c r="N8" s="28" t="n">
        <v>0</v>
      </c>
      <c r="O8" s="35">
        <f>IFERROR(E8/M8-1,"")</f>
        <v/>
      </c>
      <c r="P8" s="28" t="n">
        <v>0</v>
      </c>
      <c r="Q8" s="35">
        <f>IFERROR(P8/E8-1,"")</f>
        <v/>
      </c>
    </row>
    <row r="10" ht="20" customHeight="1">
      <c r="A10" s="64" t="inlineStr">
        <is>
          <t>PORTFOLIO TOTALS</t>
        </is>
      </c>
      <c r="H10" s="65">
        <f>SUM(H5:H8)</f>
        <v/>
      </c>
      <c r="I10" s="65">
        <f>SUM(I5:I8)</f>
        <v/>
      </c>
      <c r="J10" s="65">
        <f>SUM(J5:J8)</f>
        <v/>
      </c>
      <c r="K10" s="66">
        <f>IFERROR(J10/H10,"")</f>
        <v/>
      </c>
    </row>
    <row r="12" ht="22" customHeight="1">
      <c r="A12" s="67" t="inlineStr">
        <is>
          <t>📌  INVESTMENT THESIS &amp; RESEARCH NOTES</t>
        </is>
      </c>
    </row>
    <row r="13" ht="18" customHeight="1">
      <c r="A13" s="40" t="inlineStr">
        <is>
          <t xml:space="preserve">  CAT  —  Caterpillar Inc  |  Risk: Low-Med</t>
        </is>
      </c>
    </row>
    <row r="14" ht="52" customHeight="1">
      <c r="A14" s="41" t="inlineStr">
        <is>
          <t>Actual builder and materials company in the AI data center trade.</t>
        </is>
      </c>
    </row>
    <row r="15" ht="18" customHeight="1">
      <c r="A15" s="40" t="inlineStr">
        <is>
          <t xml:space="preserve">  FIX  —  Comfort Systems USA  |  Risk: Medium</t>
        </is>
      </c>
    </row>
    <row r="16" ht="52" customHeight="1">
      <c r="A16" s="42" t="inlineStr">
        <is>
          <t>Builder AND cooling company. AI data center HVAC &amp; MEP systems. Major growing bottleneck.</t>
        </is>
      </c>
    </row>
    <row r="17" ht="18" customHeight="1">
      <c r="A17" s="40" t="inlineStr">
        <is>
          <t xml:space="preserve">  POWL  —  Powell Industries  |  Risk: Medium</t>
        </is>
      </c>
    </row>
    <row r="18" ht="52" customHeight="1">
      <c r="A18" s="41" t="inlineStr">
        <is>
          <t>Electrical infrastructure builder for AI data centers.</t>
        </is>
      </c>
    </row>
    <row r="19" ht="18" customHeight="1">
      <c r="A19" s="40" t="inlineStr">
        <is>
          <t xml:space="preserve">  VRT  —  Vertiv Holdings  |  Risk: Medium</t>
        </is>
      </c>
    </row>
    <row r="20" ht="52" customHeight="1">
      <c r="A20" s="42" t="inlineStr">
        <is>
          <t>Premier AI data center cooling play. Cooling is a growing bottleneck.</t>
        </is>
      </c>
    </row>
  </sheetData>
  <mergeCells count="13">
    <mergeCell ref="A14:Q14"/>
    <mergeCell ref="A17:Q17"/>
    <mergeCell ref="A18:Q18"/>
    <mergeCell ref="A3:Q3"/>
    <mergeCell ref="A12:Q12"/>
    <mergeCell ref="A20:Q20"/>
    <mergeCell ref="A2:Q2"/>
    <mergeCell ref="A16:Q16"/>
    <mergeCell ref="A15:Q15"/>
    <mergeCell ref="A19:Q19"/>
    <mergeCell ref="A1:Q1"/>
    <mergeCell ref="A10:G10"/>
    <mergeCell ref="A13:Q13"/>
  </mergeCells>
  <conditionalFormatting sqref="J5:J8">
    <cfRule type="cellIs" priority="1" operator="greaterThan" dxfId="0">
      <formula>0</formula>
    </cfRule>
    <cfRule type="cellIs" priority="2" operator="lessThan" dxfId="1">
      <formula>0</formula>
    </cfRule>
  </conditionalFormatting>
  <conditionalFormatting sqref="K5:K8">
    <cfRule type="cellIs" priority="1" operator="greaterThan" dxfId="0">
      <formula>0</formula>
    </cfRule>
    <cfRule type="cellIs" priority="2" operator="lessThan" dxfId="1">
      <formula>0</formula>
    </cfRule>
  </conditionalFormatting>
  <pageMargins left="0.75" right="0.75" top="1" bottom="1" header="0.5" footer="0.5"/>
</worksheet>
</file>

<file path=xl/worksheets/sheet7.xml><?xml version="1.0" encoding="utf-8"?>
<worksheet xmlns="http://schemas.openxmlformats.org/spreadsheetml/2006/main">
  <sheetPr>
    <tabColor rgb="00ED7D31"/>
    <outlinePr summaryBelow="1" summaryRight="1"/>
    <pageSetUpPr/>
  </sheetPr>
  <dimension ref="A1:Q20"/>
  <sheetViews>
    <sheetView workbookViewId="0">
      <pane ySplit="3" topLeftCell="A4" activePane="bottomLeft" state="frozen"/>
      <selection pane="bottomLeft" activeCell="A1" sqref="A1"/>
    </sheetView>
  </sheetViews>
  <sheetFormatPr baseColWidth="8" defaultRowHeight="15"/>
  <cols>
    <col width="10" customWidth="1" min="1" max="1"/>
    <col width="28"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s>
  <sheetData>
    <row r="1" ht="28" customHeight="1">
      <c r="A1" s="68" t="inlineStr">
        <is>
          <t>⚡ Power &amp; Energy</t>
        </is>
      </c>
    </row>
    <row r="2" ht="18" customHeight="1">
      <c r="A2" s="25" t="inlineStr">
        <is>
          <t>Power generation, grid maintenance &amp; nuclear energy for the AI buildout</t>
        </is>
      </c>
    </row>
    <row r="3" ht="32" customHeight="1">
      <c r="A3" s="3" t="inlineStr">
        <is>
          <t>🟡 Yellow cells = your inputs  |  All other cells auto-calculate  |  📡 Prices fetched: May 06, 2026 at 10:30 PM</t>
        </is>
      </c>
    </row>
    <row r="4">
      <c r="A4" s="69" t="inlineStr">
        <is>
          <t>Ticker</t>
        </is>
      </c>
      <c r="B4" s="69" t="inlineStr">
        <is>
          <t>Company</t>
        </is>
      </c>
      <c r="C4" s="69" t="inlineStr">
        <is>
          <t>Focus / Niche</t>
        </is>
      </c>
      <c r="D4" s="69" t="inlineStr">
        <is>
          <t>Risk</t>
        </is>
      </c>
      <c r="E4" s="69" t="inlineStr">
        <is>
          <t>Current
Price</t>
        </is>
      </c>
      <c r="F4" s="69" t="inlineStr">
        <is>
          <t>Today's
+/- %</t>
        </is>
      </c>
      <c r="G4" s="69" t="inlineStr">
        <is>
          <t>Purchase
Price</t>
        </is>
      </c>
      <c r="H4" s="69" t="inlineStr">
        <is>
          <t>Shares
Owned</t>
        </is>
      </c>
      <c r="I4" s="69" t="inlineStr">
        <is>
          <t>Total
Cost</t>
        </is>
      </c>
      <c r="J4" s="69" t="inlineStr">
        <is>
          <t>Current
Value</t>
        </is>
      </c>
      <c r="K4" s="69" t="inlineStr">
        <is>
          <t>P&amp;L ($)</t>
        </is>
      </c>
      <c r="L4" s="69" t="inlineStr">
        <is>
          <t>P&amp;L (%)</t>
        </is>
      </c>
      <c r="M4" s="69" t="inlineStr">
        <is>
          <t>52W
High</t>
        </is>
      </c>
      <c r="N4" s="69" t="inlineStr">
        <is>
          <t>52W
Low</t>
        </is>
      </c>
      <c r="O4" s="69" t="inlineStr">
        <is>
          <t>% from
52W High</t>
        </is>
      </c>
      <c r="P4" s="69" t="inlineStr">
        <is>
          <t>Analyst
Target</t>
        </is>
      </c>
      <c r="Q4" s="69" t="inlineStr">
        <is>
          <t>Upside to
Target</t>
        </is>
      </c>
    </row>
    <row r="5">
      <c r="A5" s="27" t="inlineStr">
        <is>
          <t>GEV</t>
        </is>
      </c>
      <c r="B5" s="10" t="inlineStr">
        <is>
          <t>GE Vernova</t>
        </is>
      </c>
      <c r="C5" s="10" t="inlineStr">
        <is>
          <t>Power generation &amp; grid equipment</t>
        </is>
      </c>
      <c r="D5" s="9" t="inlineStr">
        <is>
          <t>Medium</t>
        </is>
      </c>
      <c r="E5" s="28" t="n">
        <v>1118.96</v>
      </c>
      <c r="F5" s="29" t="n">
        <v>1.71068781586888</v>
      </c>
      <c r="G5" s="28" t="n">
        <v>0</v>
      </c>
      <c r="H5" s="30" t="n">
        <v>0</v>
      </c>
      <c r="I5" s="31">
        <f>G5*H5</f>
        <v/>
      </c>
      <c r="J5" s="31">
        <f>E5*H5</f>
        <v/>
      </c>
      <c r="K5" s="31">
        <f>J5-I5</f>
        <v/>
      </c>
      <c r="L5" s="32">
        <f>IFERROR(K5/I5,"")</f>
        <v/>
      </c>
      <c r="M5" s="28" t="n">
        <v>0</v>
      </c>
      <c r="N5" s="28" t="n">
        <v>0</v>
      </c>
      <c r="O5" s="32">
        <f>IFERROR(E5/M5-1,"")</f>
        <v/>
      </c>
      <c r="P5" s="28" t="n">
        <v>0</v>
      </c>
      <c r="Q5" s="32">
        <f>IFERROR(P5/E5-1,"")</f>
        <v/>
      </c>
    </row>
    <row r="6">
      <c r="A6" s="33" t="inlineStr">
        <is>
          <t>PWR</t>
        </is>
      </c>
      <c r="B6" s="7" t="inlineStr">
        <is>
          <t>Quanta Services</t>
        </is>
      </c>
      <c r="C6" s="7" t="inlineStr">
        <is>
          <t>Power grid infrastructure &amp; maintenance</t>
        </is>
      </c>
      <c r="D6" s="6" t="inlineStr">
        <is>
          <t>Medium</t>
        </is>
      </c>
      <c r="E6" s="28" t="n">
        <v>785.24</v>
      </c>
      <c r="F6" s="29" t="n">
        <v>1.881307604947841</v>
      </c>
      <c r="G6" s="28" t="n">
        <v>0</v>
      </c>
      <c r="H6" s="30" t="n">
        <v>0</v>
      </c>
      <c r="I6" s="34">
        <f>G6*H6</f>
        <v/>
      </c>
      <c r="J6" s="34">
        <f>E6*H6</f>
        <v/>
      </c>
      <c r="K6" s="34">
        <f>J6-I6</f>
        <v/>
      </c>
      <c r="L6" s="35">
        <f>IFERROR(K6/I6,"")</f>
        <v/>
      </c>
      <c r="M6" s="28" t="n">
        <v>0</v>
      </c>
      <c r="N6" s="28" t="n">
        <v>0</v>
      </c>
      <c r="O6" s="35">
        <f>IFERROR(E6/M6-1,"")</f>
        <v/>
      </c>
      <c r="P6" s="28" t="n">
        <v>0</v>
      </c>
      <c r="Q6" s="35">
        <f>IFERROR(P6/E6-1,"")</f>
        <v/>
      </c>
    </row>
    <row r="7">
      <c r="A7" s="27" t="inlineStr">
        <is>
          <t>BE</t>
        </is>
      </c>
      <c r="B7" s="10" t="inlineStr">
        <is>
          <t>Bloom Energy</t>
        </is>
      </c>
      <c r="C7" s="10" t="inlineStr">
        <is>
          <t>Fuel cell power generation</t>
        </is>
      </c>
      <c r="D7" s="9" t="inlineStr">
        <is>
          <t>High</t>
        </is>
      </c>
      <c r="E7" s="28" t="n">
        <v>285.47</v>
      </c>
      <c r="F7" s="45" t="n">
        <v>-4.067043441964675</v>
      </c>
      <c r="G7" s="28" t="n">
        <v>0</v>
      </c>
      <c r="H7" s="30" t="n">
        <v>0</v>
      </c>
      <c r="I7" s="31">
        <f>G7*H7</f>
        <v/>
      </c>
      <c r="J7" s="31">
        <f>E7*H7</f>
        <v/>
      </c>
      <c r="K7" s="31">
        <f>J7-I7</f>
        <v/>
      </c>
      <c r="L7" s="32">
        <f>IFERROR(K7/I7,"")</f>
        <v/>
      </c>
      <c r="M7" s="28" t="n">
        <v>0</v>
      </c>
      <c r="N7" s="28" t="n">
        <v>0</v>
      </c>
      <c r="O7" s="32">
        <f>IFERROR(E7/M7-1,"")</f>
        <v/>
      </c>
      <c r="P7" s="28" t="n">
        <v>0</v>
      </c>
      <c r="Q7" s="32">
        <f>IFERROR(P7/E7-1,"")</f>
        <v/>
      </c>
    </row>
    <row r="8">
      <c r="A8" s="33" t="inlineStr">
        <is>
          <t>OKLO</t>
        </is>
      </c>
      <c r="B8" s="7" t="inlineStr">
        <is>
          <t>Oklo Inc</t>
        </is>
      </c>
      <c r="C8" s="7" t="inlineStr">
        <is>
          <t>Nuclear SMRs + nuclear fuel waste</t>
        </is>
      </c>
      <c r="D8" s="6" t="inlineStr">
        <is>
          <t>Very High</t>
        </is>
      </c>
      <c r="E8" s="28" t="n">
        <v>79.62</v>
      </c>
      <c r="F8" s="29" t="n">
        <v>17.15715530691883</v>
      </c>
      <c r="G8" s="28" t="n">
        <v>0</v>
      </c>
      <c r="H8" s="30" t="n">
        <v>0</v>
      </c>
      <c r="I8" s="34">
        <f>G8*H8</f>
        <v/>
      </c>
      <c r="J8" s="34">
        <f>E8*H8</f>
        <v/>
      </c>
      <c r="K8" s="34">
        <f>J8-I8</f>
        <v/>
      </c>
      <c r="L8" s="35">
        <f>IFERROR(K8/I8,"")</f>
        <v/>
      </c>
      <c r="M8" s="28" t="n">
        <v>0</v>
      </c>
      <c r="N8" s="28" t="n">
        <v>0</v>
      </c>
      <c r="O8" s="35">
        <f>IFERROR(E8/M8-1,"")</f>
        <v/>
      </c>
      <c r="P8" s="28" t="n">
        <v>0</v>
      </c>
      <c r="Q8" s="35">
        <f>IFERROR(P8/E8-1,"")</f>
        <v/>
      </c>
    </row>
    <row r="10" ht="20" customHeight="1">
      <c r="A10" s="70" t="inlineStr">
        <is>
          <t>PORTFOLIO TOTALS</t>
        </is>
      </c>
      <c r="H10" s="71">
        <f>SUM(H5:H8)</f>
        <v/>
      </c>
      <c r="I10" s="71">
        <f>SUM(I5:I8)</f>
        <v/>
      </c>
      <c r="J10" s="71">
        <f>SUM(J5:J8)</f>
        <v/>
      </c>
      <c r="K10" s="72">
        <f>IFERROR(J10/H10,"")</f>
        <v/>
      </c>
    </row>
    <row r="12" ht="22" customHeight="1">
      <c r="A12" s="73" t="inlineStr">
        <is>
          <t>📌  INVESTMENT THESIS &amp; RESEARCH NOTES</t>
        </is>
      </c>
    </row>
    <row r="13" ht="18" customHeight="1">
      <c r="A13" s="40" t="inlineStr">
        <is>
          <t xml:space="preserve">  GEV  —  GE Vernova  |  Risk: Medium</t>
        </is>
      </c>
    </row>
    <row r="14" ht="52" customHeight="1">
      <c r="A14" s="41" t="inlineStr">
        <is>
          <t>Stability and steady compounder. Power and grid maintenance for AI buildout.</t>
        </is>
      </c>
    </row>
    <row r="15" ht="18" customHeight="1">
      <c r="A15" s="40" t="inlineStr">
        <is>
          <t xml:space="preserve">  PWR  —  Quanta Services  |  Risk: Medium</t>
        </is>
      </c>
    </row>
    <row r="16" ht="52" customHeight="1">
      <c r="A16" s="42" t="inlineStr">
        <is>
          <t>Power generation and grid maintenance. Growing bottleneck for AI buildout.</t>
        </is>
      </c>
    </row>
    <row r="17" ht="18" customHeight="1">
      <c r="A17" s="40" t="inlineStr">
        <is>
          <t xml:space="preserve">  BE  —  Bloom Energy  |  Risk: High</t>
        </is>
      </c>
    </row>
    <row r="18" ht="52" customHeight="1">
      <c r="A18" s="41" t="inlineStr">
        <is>
          <t>Moonshot potential if hydrogen &amp; fuel cell technology takes off.</t>
        </is>
      </c>
    </row>
    <row r="19" ht="18" customHeight="1">
      <c r="A19" s="40" t="inlineStr">
        <is>
          <t xml:space="preserve">  OKLO  —  Oklo Inc  |  Risk: Very High</t>
        </is>
      </c>
    </row>
    <row r="20" ht="52" customHeight="1">
      <c r="A20" s="42" t="inlineStr">
        <is>
          <t>Massive moonshot potential. Big regulatory &amp; execution risk. Worth a small % of portfolio given massive potential.</t>
        </is>
      </c>
    </row>
  </sheetData>
  <mergeCells count="13">
    <mergeCell ref="A14:Q14"/>
    <mergeCell ref="A17:Q17"/>
    <mergeCell ref="A18:Q18"/>
    <mergeCell ref="A3:Q3"/>
    <mergeCell ref="A12:Q12"/>
    <mergeCell ref="A20:Q20"/>
    <mergeCell ref="A2:Q2"/>
    <mergeCell ref="A16:Q16"/>
    <mergeCell ref="A15:Q15"/>
    <mergeCell ref="A19:Q19"/>
    <mergeCell ref="A1:Q1"/>
    <mergeCell ref="A10:G10"/>
    <mergeCell ref="A13:Q13"/>
  </mergeCells>
  <conditionalFormatting sqref="J5:J8">
    <cfRule type="cellIs" priority="1" operator="greaterThan" dxfId="0">
      <formula>0</formula>
    </cfRule>
    <cfRule type="cellIs" priority="2" operator="lessThan" dxfId="1">
      <formula>0</formula>
    </cfRule>
  </conditionalFormatting>
  <conditionalFormatting sqref="K5:K8">
    <cfRule type="cellIs" priority="1" operator="greaterThan" dxfId="0">
      <formula>0</formula>
    </cfRule>
    <cfRule type="cellIs" priority="2" operator="lessThan" dxfId="1">
      <formula>0</formula>
    </cfRule>
  </conditionalFormatting>
  <pageMargins left="0.75" right="0.75" top="1" bottom="1" header="0.5" footer="0.5"/>
</worksheet>
</file>

<file path=xl/worksheets/sheet8.xml><?xml version="1.0" encoding="utf-8"?>
<worksheet xmlns="http://schemas.openxmlformats.org/spreadsheetml/2006/main">
  <sheetPr>
    <tabColor rgb="007030A0"/>
    <outlinePr summaryBelow="1" summaryRight="1"/>
    <pageSetUpPr/>
  </sheetPr>
  <dimension ref="A1:Q14"/>
  <sheetViews>
    <sheetView workbookViewId="0">
      <pane ySplit="3" topLeftCell="A4" activePane="bottomLeft" state="frozen"/>
      <selection pane="bottomLeft" activeCell="A1" sqref="A1"/>
    </sheetView>
  </sheetViews>
  <sheetFormatPr baseColWidth="8" defaultRowHeight="15"/>
  <cols>
    <col width="10" customWidth="1" min="1" max="1"/>
    <col width="28"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s>
  <sheetData>
    <row r="1" ht="28" customHeight="1">
      <c r="A1" s="74" t="inlineStr">
        <is>
          <t>☁️ Neoclouds &amp; AI Software</t>
        </is>
      </c>
    </row>
    <row r="2" ht="18" customHeight="1">
      <c r="A2" s="25" t="inlineStr">
        <is>
          <t>Next-gen cloud infrastructure and AI software platforms</t>
        </is>
      </c>
    </row>
    <row r="3" ht="32" customHeight="1">
      <c r="A3" s="3" t="inlineStr">
        <is>
          <t>🟡 Yellow cells = your inputs  |  All other cells auto-calculate  |  📡 Prices fetched: May 06, 2026 at 10:30 PM</t>
        </is>
      </c>
    </row>
    <row r="4">
      <c r="A4" s="75" t="inlineStr">
        <is>
          <t>Ticker</t>
        </is>
      </c>
      <c r="B4" s="75" t="inlineStr">
        <is>
          <t>Company</t>
        </is>
      </c>
      <c r="C4" s="75" t="inlineStr">
        <is>
          <t>Focus / Niche</t>
        </is>
      </c>
      <c r="D4" s="75" t="inlineStr">
        <is>
          <t>Risk</t>
        </is>
      </c>
      <c r="E4" s="75" t="inlineStr">
        <is>
          <t>Current
Price</t>
        </is>
      </c>
      <c r="F4" s="75" t="inlineStr">
        <is>
          <t>Today's
+/- %</t>
        </is>
      </c>
      <c r="G4" s="75" t="inlineStr">
        <is>
          <t>Purchase
Price</t>
        </is>
      </c>
      <c r="H4" s="75" t="inlineStr">
        <is>
          <t>Shares
Owned</t>
        </is>
      </c>
      <c r="I4" s="75" t="inlineStr">
        <is>
          <t>Total
Cost</t>
        </is>
      </c>
      <c r="J4" s="75" t="inlineStr">
        <is>
          <t>Current
Value</t>
        </is>
      </c>
      <c r="K4" s="75" t="inlineStr">
        <is>
          <t>P&amp;L ($)</t>
        </is>
      </c>
      <c r="L4" s="75" t="inlineStr">
        <is>
          <t>P&amp;L (%)</t>
        </is>
      </c>
      <c r="M4" s="75" t="inlineStr">
        <is>
          <t>52W
High</t>
        </is>
      </c>
      <c r="N4" s="75" t="inlineStr">
        <is>
          <t>52W
Low</t>
        </is>
      </c>
      <c r="O4" s="75" t="inlineStr">
        <is>
          <t>% from
52W High</t>
        </is>
      </c>
      <c r="P4" s="75" t="inlineStr">
        <is>
          <t>Analyst
Target</t>
        </is>
      </c>
      <c r="Q4" s="75" t="inlineStr">
        <is>
          <t>Upside to
Target</t>
        </is>
      </c>
    </row>
    <row r="5">
      <c r="A5" s="27" t="inlineStr">
        <is>
          <t>NBIS</t>
        </is>
      </c>
      <c r="B5" s="10" t="inlineStr">
        <is>
          <t>Nebius Group</t>
        </is>
      </c>
      <c r="C5" s="10" t="inlineStr">
        <is>
          <t>Neocloud + Clickhouse + AV Ride</t>
        </is>
      </c>
      <c r="D5" s="9" t="inlineStr">
        <is>
          <t>High</t>
        </is>
      </c>
      <c r="E5" s="28" t="n">
        <v>195.09</v>
      </c>
      <c r="F5" s="29" t="n">
        <v>10.84973796863014</v>
      </c>
      <c r="G5" s="28" t="n">
        <v>0</v>
      </c>
      <c r="H5" s="30" t="n">
        <v>0</v>
      </c>
      <c r="I5" s="31">
        <f>G5*H5</f>
        <v/>
      </c>
      <c r="J5" s="31">
        <f>E5*H5</f>
        <v/>
      </c>
      <c r="K5" s="31">
        <f>J5-I5</f>
        <v/>
      </c>
      <c r="L5" s="32">
        <f>IFERROR(K5/I5,"")</f>
        <v/>
      </c>
      <c r="M5" s="28" t="n">
        <v>0</v>
      </c>
      <c r="N5" s="28" t="n">
        <v>0</v>
      </c>
      <c r="O5" s="32">
        <f>IFERROR(E5/M5-1,"")</f>
        <v/>
      </c>
      <c r="P5" s="28" t="n">
        <v>0</v>
      </c>
      <c r="Q5" s="32">
        <f>IFERROR(P5/E5-1,"")</f>
        <v/>
      </c>
    </row>
    <row r="6">
      <c r="A6" s="33" t="inlineStr">
        <is>
          <t>PLTR</t>
        </is>
      </c>
      <c r="B6" s="7" t="inlineStr">
        <is>
          <t>Palantir Technologies</t>
        </is>
      </c>
      <c r="C6" s="7" t="inlineStr">
        <is>
          <t>AI software, government AI stack</t>
        </is>
      </c>
      <c r="D6" s="6" t="inlineStr">
        <is>
          <t>Med-High</t>
        </is>
      </c>
      <c r="E6" s="28" t="n">
        <v>133.79</v>
      </c>
      <c r="F6" s="45" t="n">
        <v>-1.101424241474859</v>
      </c>
      <c r="G6" s="28" t="n">
        <v>0</v>
      </c>
      <c r="H6" s="30" t="n">
        <v>0</v>
      </c>
      <c r="I6" s="34">
        <f>G6*H6</f>
        <v/>
      </c>
      <c r="J6" s="34">
        <f>E6*H6</f>
        <v/>
      </c>
      <c r="K6" s="34">
        <f>J6-I6</f>
        <v/>
      </c>
      <c r="L6" s="35">
        <f>IFERROR(K6/I6,"")</f>
        <v/>
      </c>
      <c r="M6" s="28" t="n">
        <v>0</v>
      </c>
      <c r="N6" s="28" t="n">
        <v>0</v>
      </c>
      <c r="O6" s="35">
        <f>IFERROR(E6/M6-1,"")</f>
        <v/>
      </c>
      <c r="P6" s="28" t="n">
        <v>0</v>
      </c>
      <c r="Q6" s="35">
        <f>IFERROR(P6/E6-1,"")</f>
        <v/>
      </c>
    </row>
    <row r="8" ht="20" customHeight="1">
      <c r="A8" s="76" t="inlineStr">
        <is>
          <t>PORTFOLIO TOTALS</t>
        </is>
      </c>
      <c r="H8" s="77">
        <f>SUM(H5:H6)</f>
        <v/>
      </c>
      <c r="I8" s="77">
        <f>SUM(I5:I6)</f>
        <v/>
      </c>
      <c r="J8" s="77">
        <f>SUM(J5:J6)</f>
        <v/>
      </c>
      <c r="K8" s="78">
        <f>IFERROR(J8/H8,"")</f>
        <v/>
      </c>
    </row>
    <row r="10" ht="22" customHeight="1">
      <c r="A10" s="79" t="inlineStr">
        <is>
          <t>📌  INVESTMENT THESIS &amp; RESEARCH NOTES</t>
        </is>
      </c>
    </row>
    <row r="11" ht="18" customHeight="1">
      <c r="A11" s="40" t="inlineStr">
        <is>
          <t xml:space="preserve">  NBIS  —  Nebius Group  |  Risk: High</t>
        </is>
      </c>
    </row>
    <row r="12" ht="52" customHeight="1">
      <c r="A12" s="41" t="inlineStr">
        <is>
          <t>Leading Neocloud with multiple revenue streams (Clickhouse, AV Ride). Modern Amazon/Google style company. Could become a future Hyperscaler.</t>
        </is>
      </c>
    </row>
    <row r="13" ht="18" customHeight="1">
      <c r="A13" s="40" t="inlineStr">
        <is>
          <t xml:space="preserve">  PLTR  —  Palantir Technologies  |  Risk: Med-High</t>
        </is>
      </c>
    </row>
    <row r="14" ht="52" customHeight="1">
      <c r="A14" s="42" t="inlineStr">
        <is>
          <t>Integral to the entire government AI stack. Not going anywhere. AI Software outlier outside the data center trade.</t>
        </is>
      </c>
    </row>
  </sheetData>
  <mergeCells count="9">
    <mergeCell ref="A14:Q14"/>
    <mergeCell ref="A3:Q3"/>
    <mergeCell ref="A8:G8"/>
    <mergeCell ref="A12:Q12"/>
    <mergeCell ref="A2:Q2"/>
    <mergeCell ref="A10:Q10"/>
    <mergeCell ref="A11:Q11"/>
    <mergeCell ref="A1:Q1"/>
    <mergeCell ref="A13:Q13"/>
  </mergeCells>
  <conditionalFormatting sqref="J5:J6">
    <cfRule type="cellIs" priority="1" operator="greaterThan" dxfId="0">
      <formula>0</formula>
    </cfRule>
    <cfRule type="cellIs" priority="2" operator="lessThan" dxfId="1">
      <formula>0</formula>
    </cfRule>
  </conditionalFormatting>
  <conditionalFormatting sqref="K5:K6">
    <cfRule type="cellIs" priority="1" operator="greaterThan" dxfId="0">
      <formula>0</formula>
    </cfRule>
    <cfRule type="cellIs" priority="2" operator="lessThan" dxfId="1">
      <formula>0</formula>
    </cfRule>
  </conditionalFormatting>
  <pageMargins left="0.75" right="0.75" top="1" bottom="1" header="0.5" footer="0.5"/>
</worksheet>
</file>

<file path=xl/worksheets/sheet9.xml><?xml version="1.0" encoding="utf-8"?>
<worksheet xmlns="http://schemas.openxmlformats.org/spreadsheetml/2006/main">
  <sheetPr>
    <tabColor rgb="00595959"/>
    <outlinePr summaryBelow="1" summaryRight="1"/>
    <pageSetUpPr/>
  </sheetPr>
  <dimension ref="A1:Q11"/>
  <sheetViews>
    <sheetView workbookViewId="0">
      <pane ySplit="3" topLeftCell="A4" activePane="bottomLeft" state="frozen"/>
      <selection pane="bottomLeft" activeCell="A1" sqref="A1"/>
    </sheetView>
  </sheetViews>
  <sheetFormatPr baseColWidth="8" defaultRowHeight="15"/>
  <cols>
    <col width="10" customWidth="1" min="1" max="1"/>
    <col width="28"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s>
  <sheetData>
    <row r="1" ht="28" customHeight="1">
      <c r="A1" s="80" t="inlineStr">
        <is>
          <t>🛡️ Defense &amp; Drones</t>
        </is>
      </c>
    </row>
    <row r="2" ht="18" customHeight="1">
      <c r="A2" s="25" t="inlineStr">
        <is>
          <t>Defense technology and drone companies — $1.5T defense budget tailwind</t>
        </is>
      </c>
    </row>
    <row r="3" ht="32" customHeight="1">
      <c r="A3" s="3" t="inlineStr">
        <is>
          <t>🟡 Yellow cells = your inputs  |  All other cells auto-calculate  |  📡 Prices fetched: May 06, 2026 at 10:30 PM</t>
        </is>
      </c>
    </row>
    <row r="4">
      <c r="A4" s="81" t="inlineStr">
        <is>
          <t>Ticker</t>
        </is>
      </c>
      <c r="B4" s="81" t="inlineStr">
        <is>
          <t>Company</t>
        </is>
      </c>
      <c r="C4" s="81" t="inlineStr">
        <is>
          <t>Focus / Niche</t>
        </is>
      </c>
      <c r="D4" s="81" t="inlineStr">
        <is>
          <t>Risk</t>
        </is>
      </c>
      <c r="E4" s="81" t="inlineStr">
        <is>
          <t>Current
Price</t>
        </is>
      </c>
      <c r="F4" s="81" t="inlineStr">
        <is>
          <t>Today's
+/- %</t>
        </is>
      </c>
      <c r="G4" s="81" t="inlineStr">
        <is>
          <t>Purchase
Price</t>
        </is>
      </c>
      <c r="H4" s="81" t="inlineStr">
        <is>
          <t>Shares
Owned</t>
        </is>
      </c>
      <c r="I4" s="81" t="inlineStr">
        <is>
          <t>Total
Cost</t>
        </is>
      </c>
      <c r="J4" s="81" t="inlineStr">
        <is>
          <t>Current
Value</t>
        </is>
      </c>
      <c r="K4" s="81" t="inlineStr">
        <is>
          <t>P&amp;L ($)</t>
        </is>
      </c>
      <c r="L4" s="81" t="inlineStr">
        <is>
          <t>P&amp;L (%)</t>
        </is>
      </c>
      <c r="M4" s="81" t="inlineStr">
        <is>
          <t>52W
High</t>
        </is>
      </c>
      <c r="N4" s="81" t="inlineStr">
        <is>
          <t>52W
Low</t>
        </is>
      </c>
      <c r="O4" s="81" t="inlineStr">
        <is>
          <t>% from
52W High</t>
        </is>
      </c>
      <c r="P4" s="81" t="inlineStr">
        <is>
          <t>Analyst
Target</t>
        </is>
      </c>
      <c r="Q4" s="81" t="inlineStr">
        <is>
          <t>Upside to
Target</t>
        </is>
      </c>
    </row>
    <row r="5">
      <c r="A5" s="27" t="inlineStr">
        <is>
          <t>ONDS</t>
        </is>
      </c>
      <c r="B5" s="10" t="inlineStr">
        <is>
          <t>Ondas Holdings</t>
        </is>
      </c>
      <c r="C5" s="10" t="inlineStr">
        <is>
          <t>Drones and defense tech</t>
        </is>
      </c>
      <c r="D5" s="9" t="inlineStr">
        <is>
          <t>Very High</t>
        </is>
      </c>
      <c r="E5" s="28" t="n">
        <v>9.34</v>
      </c>
      <c r="F5" s="29" t="n">
        <v>0.6595696920710679</v>
      </c>
      <c r="G5" s="28" t="n">
        <v>0</v>
      </c>
      <c r="H5" s="30" t="n">
        <v>0</v>
      </c>
      <c r="I5" s="31">
        <f>G5*H5</f>
        <v/>
      </c>
      <c r="J5" s="31">
        <f>E5*H5</f>
        <v/>
      </c>
      <c r="K5" s="31">
        <f>J5-I5</f>
        <v/>
      </c>
      <c r="L5" s="32">
        <f>IFERROR(K5/I5,"")</f>
        <v/>
      </c>
      <c r="M5" s="28" t="n">
        <v>0</v>
      </c>
      <c r="N5" s="28" t="n">
        <v>0</v>
      </c>
      <c r="O5" s="32">
        <f>IFERROR(E5/M5-1,"")</f>
        <v/>
      </c>
      <c r="P5" s="28" t="n">
        <v>0</v>
      </c>
      <c r="Q5" s="32">
        <f>IFERROR(P5/E5-1,"")</f>
        <v/>
      </c>
    </row>
    <row r="7" ht="20" customHeight="1">
      <c r="A7" s="82" t="inlineStr">
        <is>
          <t>PORTFOLIO TOTALS</t>
        </is>
      </c>
      <c r="H7" s="83">
        <f>SUM(H5:H5)</f>
        <v/>
      </c>
      <c r="I7" s="83">
        <f>SUM(I5:I5)</f>
        <v/>
      </c>
      <c r="J7" s="83">
        <f>SUM(J5:J5)</f>
        <v/>
      </c>
      <c r="K7" s="84">
        <f>IFERROR(J7/H7,"")</f>
        <v/>
      </c>
    </row>
    <row r="9" ht="22" customHeight="1">
      <c r="A9" s="85" t="inlineStr">
        <is>
          <t>📌  INVESTMENT THESIS &amp; RESEARCH NOTES</t>
        </is>
      </c>
    </row>
    <row r="10" ht="18" customHeight="1">
      <c r="A10" s="40" t="inlineStr">
        <is>
          <t xml:space="preserve">  ONDS  —  Ondas Holdings  |  Risk: Very High</t>
        </is>
      </c>
    </row>
    <row r="11" ht="52" customHeight="1">
      <c r="A11" s="41" t="inlineStr">
        <is>
          <t>$1.5T defense budget, $56B to drones/counter-drones via DAWG Program. Best chance to scale after March 2026 acquisitions &amp; partnerships. Very speculative.</t>
        </is>
      </c>
    </row>
  </sheetData>
  <mergeCells count="7">
    <mergeCell ref="A9:Q9"/>
    <mergeCell ref="A3:Q3"/>
    <mergeCell ref="A2:Q2"/>
    <mergeCell ref="A10:Q10"/>
    <mergeCell ref="A7:G7"/>
    <mergeCell ref="A11:Q11"/>
    <mergeCell ref="A1:Q1"/>
  </mergeCells>
  <conditionalFormatting sqref="J5">
    <cfRule type="cellIs" priority="1" operator="greaterThan" dxfId="0">
      <formula>0</formula>
    </cfRule>
    <cfRule type="cellIs" priority="2" operator="lessThan" dxfId="1">
      <formula>0</formula>
    </cfRule>
  </conditionalFormatting>
  <conditionalFormatting sqref="K5">
    <cfRule type="cellIs" priority="1" operator="greaterThan" dxfId="0">
      <formula>0</formula>
    </cfRule>
    <cfRule type="cellIs" priority="2" operator="lessThan" dxfId="1">
      <formula>0</formula>
    </cfRule>
  </conditionalFormatting>
  <pageMargins left="0.75" right="0.75" top="1" bottom="1" header="0.5" footer="0.5"/>
</worksheet>
</file>

<file path=xl/worksheets/sheet10.xml><?xml version="1.0" encoding="utf-8"?>
<worksheet xmlns="http://schemas.openxmlformats.org/spreadsheetml/2006/main">
  <sheetPr>
    <tabColor rgb="00002060"/>
    <outlinePr summaryBelow="1" summaryRight="1"/>
    <pageSetUpPr/>
  </sheetPr>
  <dimension ref="A1:Q11"/>
  <sheetViews>
    <sheetView workbookViewId="0">
      <pane ySplit="3" topLeftCell="A4" activePane="bottomLeft" state="frozen"/>
      <selection pane="bottomLeft" activeCell="A1" sqref="A1"/>
    </sheetView>
  </sheetViews>
  <sheetFormatPr baseColWidth="8" defaultRowHeight="15"/>
  <cols>
    <col width="10" customWidth="1" min="1" max="1"/>
    <col width="28"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s>
  <sheetData>
    <row r="1" ht="28" customHeight="1">
      <c r="A1" s="86" t="inlineStr">
        <is>
          <t>🚀 Space Economy</t>
        </is>
      </c>
    </row>
    <row r="2" ht="18" customHeight="1">
      <c r="A2" s="25" t="inlineStr">
        <is>
          <t>Space infrastructure — long-duration compounder with SpaceX IPO catalyst</t>
        </is>
      </c>
    </row>
    <row r="3" ht="32" customHeight="1">
      <c r="A3" s="3" t="inlineStr">
        <is>
          <t>🟡 Yellow cells = your inputs  |  All other cells auto-calculate  |  📡 Prices fetched: May 06, 2026 at 10:30 PM</t>
        </is>
      </c>
    </row>
    <row r="4">
      <c r="A4" s="87" t="inlineStr">
        <is>
          <t>Ticker</t>
        </is>
      </c>
      <c r="B4" s="87" t="inlineStr">
        <is>
          <t>Company</t>
        </is>
      </c>
      <c r="C4" s="87" t="inlineStr">
        <is>
          <t>Focus / Niche</t>
        </is>
      </c>
      <c r="D4" s="87" t="inlineStr">
        <is>
          <t>Risk</t>
        </is>
      </c>
      <c r="E4" s="87" t="inlineStr">
        <is>
          <t>Current
Price</t>
        </is>
      </c>
      <c r="F4" s="87" t="inlineStr">
        <is>
          <t>Today's
+/- %</t>
        </is>
      </c>
      <c r="G4" s="87" t="inlineStr">
        <is>
          <t>Purchase
Price</t>
        </is>
      </c>
      <c r="H4" s="87" t="inlineStr">
        <is>
          <t>Shares
Owned</t>
        </is>
      </c>
      <c r="I4" s="87" t="inlineStr">
        <is>
          <t>Total
Cost</t>
        </is>
      </c>
      <c r="J4" s="87" t="inlineStr">
        <is>
          <t>Current
Value</t>
        </is>
      </c>
      <c r="K4" s="87" t="inlineStr">
        <is>
          <t>P&amp;L ($)</t>
        </is>
      </c>
      <c r="L4" s="87" t="inlineStr">
        <is>
          <t>P&amp;L (%)</t>
        </is>
      </c>
      <c r="M4" s="87" t="inlineStr">
        <is>
          <t>52W
High</t>
        </is>
      </c>
      <c r="N4" s="87" t="inlineStr">
        <is>
          <t>52W
Low</t>
        </is>
      </c>
      <c r="O4" s="87" t="inlineStr">
        <is>
          <t>% from
52W High</t>
        </is>
      </c>
      <c r="P4" s="87" t="inlineStr">
        <is>
          <t>Analyst
Target</t>
        </is>
      </c>
      <c r="Q4" s="87" t="inlineStr">
        <is>
          <t>Upside to
Target</t>
        </is>
      </c>
    </row>
    <row r="5">
      <c r="A5" s="27" t="inlineStr">
        <is>
          <t>RKLB</t>
        </is>
      </c>
      <c r="B5" s="10" t="inlineStr">
        <is>
          <t>Rocket Lab USA</t>
        </is>
      </c>
      <c r="C5" s="10" t="inlineStr">
        <is>
          <t>Space economy &amp; launch infrastructure</t>
        </is>
      </c>
      <c r="D5" s="9" t="inlineStr">
        <is>
          <t>High</t>
        </is>
      </c>
      <c r="E5" s="28" t="n">
        <v>84.65000000000001</v>
      </c>
      <c r="F5" s="29" t="n">
        <v>7.875623201069081</v>
      </c>
      <c r="G5" s="28" t="n">
        <v>0</v>
      </c>
      <c r="H5" s="30" t="n">
        <v>0</v>
      </c>
      <c r="I5" s="31">
        <f>G5*H5</f>
        <v/>
      </c>
      <c r="J5" s="31">
        <f>E5*H5</f>
        <v/>
      </c>
      <c r="K5" s="31">
        <f>J5-I5</f>
        <v/>
      </c>
      <c r="L5" s="32">
        <f>IFERROR(K5/I5,"")</f>
        <v/>
      </c>
      <c r="M5" s="28" t="n">
        <v>0</v>
      </c>
      <c r="N5" s="28" t="n">
        <v>0</v>
      </c>
      <c r="O5" s="32">
        <f>IFERROR(E5/M5-1,"")</f>
        <v/>
      </c>
      <c r="P5" s="28" t="n">
        <v>0</v>
      </c>
      <c r="Q5" s="32">
        <f>IFERROR(P5/E5-1,"")</f>
        <v/>
      </c>
    </row>
    <row r="7" ht="20" customHeight="1">
      <c r="A7" s="88" t="inlineStr">
        <is>
          <t>PORTFOLIO TOTALS</t>
        </is>
      </c>
      <c r="H7" s="89">
        <f>SUM(H5:H5)</f>
        <v/>
      </c>
      <c r="I7" s="89">
        <f>SUM(I5:I5)</f>
        <v/>
      </c>
      <c r="J7" s="89">
        <f>SUM(J5:J5)</f>
        <v/>
      </c>
      <c r="K7" s="90">
        <f>IFERROR(J7/H7,"")</f>
        <v/>
      </c>
    </row>
    <row r="9" ht="22" customHeight="1">
      <c r="A9" s="91" t="inlineStr">
        <is>
          <t>📌  INVESTMENT THESIS &amp; RESEARCH NOTES</t>
        </is>
      </c>
    </row>
    <row r="10" ht="18" customHeight="1">
      <c r="A10" s="40" t="inlineStr">
        <is>
          <t xml:space="preserve">  RKLB  —  Rocket Lab USA  |  Risk: High</t>
        </is>
      </c>
    </row>
    <row r="11" ht="52" customHeight="1">
      <c r="A11" s="41" t="inlineStr">
        <is>
          <t>Huge future TAM over next decade+. Speculative but massive upside. Brilliant CEO. Near-term catalyst: SpaceX IPO in June.</t>
        </is>
      </c>
    </row>
  </sheetData>
  <mergeCells count="7">
    <mergeCell ref="A9:Q9"/>
    <mergeCell ref="A3:Q3"/>
    <mergeCell ref="A2:Q2"/>
    <mergeCell ref="A10:Q10"/>
    <mergeCell ref="A7:G7"/>
    <mergeCell ref="A11:Q11"/>
    <mergeCell ref="A1:Q1"/>
  </mergeCells>
  <conditionalFormatting sqref="J5">
    <cfRule type="cellIs" priority="1" operator="greaterThan" dxfId="0">
      <formula>0</formula>
    </cfRule>
    <cfRule type="cellIs" priority="2" operator="lessThan" dxfId="1">
      <formula>0</formula>
    </cfRule>
  </conditionalFormatting>
  <conditionalFormatting sqref="K5">
    <cfRule type="cellIs" priority="1" operator="greaterThan" dxfId="0">
      <formula>0</formula>
    </cfRule>
    <cfRule type="cellIs" priority="2" operator="lessThan" dxfId="1">
      <formula>0</formula>
    </cfRule>
  </conditionalFormatting>
  <pageMargins left="0.75" right="0.75" top="1" bottom="1" header="0.5" footer="0.5"/>
</worksheet>
</file>

<file path=xl/worksheets/sheet11.xml><?xml version="1.0" encoding="utf-8"?>
<worksheet xmlns="http://schemas.openxmlformats.org/spreadsheetml/2006/main">
  <sheetPr>
    <tabColor rgb="002E75B6"/>
    <outlinePr summaryBelow="1" summaryRight="1"/>
    <pageSetUpPr/>
  </sheetPr>
  <dimension ref="A1:Q14"/>
  <sheetViews>
    <sheetView workbookViewId="0">
      <pane ySplit="3" topLeftCell="A4" activePane="bottomLeft" state="frozen"/>
      <selection pane="bottomLeft" activeCell="A1" sqref="A1"/>
    </sheetView>
  </sheetViews>
  <sheetFormatPr baseColWidth="8" defaultRowHeight="15"/>
  <cols>
    <col width="10" customWidth="1" min="1" max="1"/>
    <col width="28"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s>
  <sheetData>
    <row r="1" ht="28" customHeight="1">
      <c r="A1" s="92" t="inlineStr">
        <is>
          <t>🔭 Long Term Watchlist</t>
        </is>
      </c>
    </row>
    <row r="2" ht="18" customHeight="1">
      <c r="A2" s="25" t="inlineStr">
        <is>
          <t>Long-term investment research candidates under active evaluation</t>
        </is>
      </c>
    </row>
    <row r="3" ht="32" customHeight="1">
      <c r="A3" s="3" t="inlineStr">
        <is>
          <t>🟡 Yellow cells = your inputs  |  All other cells auto-calculate  |  📡 Prices fetched: May 06, 2026 at 10:30 PM</t>
        </is>
      </c>
    </row>
    <row r="4">
      <c r="A4" s="93" t="inlineStr">
        <is>
          <t>Ticker</t>
        </is>
      </c>
      <c r="B4" s="93" t="inlineStr">
        <is>
          <t>Company</t>
        </is>
      </c>
      <c r="C4" s="93" t="inlineStr">
        <is>
          <t>Focus / Niche</t>
        </is>
      </c>
      <c r="D4" s="93" t="inlineStr">
        <is>
          <t>Risk</t>
        </is>
      </c>
      <c r="E4" s="93" t="inlineStr">
        <is>
          <t>Current
Price</t>
        </is>
      </c>
      <c r="F4" s="93" t="inlineStr">
        <is>
          <t>Today's
+/- %</t>
        </is>
      </c>
      <c r="G4" s="93" t="inlineStr">
        <is>
          <t>Purchase
Price</t>
        </is>
      </c>
      <c r="H4" s="93" t="inlineStr">
        <is>
          <t>Shares
Owned</t>
        </is>
      </c>
      <c r="I4" s="93" t="inlineStr">
        <is>
          <t>Total
Cost</t>
        </is>
      </c>
      <c r="J4" s="93" t="inlineStr">
        <is>
          <t>Current
Value</t>
        </is>
      </c>
      <c r="K4" s="93" t="inlineStr">
        <is>
          <t>P&amp;L ($)</t>
        </is>
      </c>
      <c r="L4" s="93" t="inlineStr">
        <is>
          <t>P&amp;L (%)</t>
        </is>
      </c>
      <c r="M4" s="93" t="inlineStr">
        <is>
          <t>52W
High</t>
        </is>
      </c>
      <c r="N4" s="93" t="inlineStr">
        <is>
          <t>52W
Low</t>
        </is>
      </c>
      <c r="O4" s="93" t="inlineStr">
        <is>
          <t>% from
52W High</t>
        </is>
      </c>
      <c r="P4" s="93" t="inlineStr">
        <is>
          <t>Analyst
Target</t>
        </is>
      </c>
      <c r="Q4" s="93" t="inlineStr">
        <is>
          <t>Upside to
Target</t>
        </is>
      </c>
    </row>
    <row r="5">
      <c r="A5" s="27" t="inlineStr">
        <is>
          <t>RBRK</t>
        </is>
      </c>
      <c r="B5" s="10" t="inlineStr">
        <is>
          <t>Rubrik Inc</t>
        </is>
      </c>
      <c r="C5" s="10" t="inlineStr">
        <is>
          <t>Cybersecurity, data management</t>
        </is>
      </c>
      <c r="D5" s="9" t="inlineStr">
        <is>
          <t>Med-High</t>
        </is>
      </c>
      <c r="E5" s="28" t="n">
        <v>57.78</v>
      </c>
      <c r="F5" s="29" t="n">
        <v>0.4665116477114699</v>
      </c>
      <c r="G5" s="28" t="n">
        <v>0</v>
      </c>
      <c r="H5" s="30" t="n">
        <v>0</v>
      </c>
      <c r="I5" s="31">
        <f>G5*H5</f>
        <v/>
      </c>
      <c r="J5" s="31">
        <f>E5*H5</f>
        <v/>
      </c>
      <c r="K5" s="31">
        <f>J5-I5</f>
        <v/>
      </c>
      <c r="L5" s="32">
        <f>IFERROR(K5/I5,"")</f>
        <v/>
      </c>
      <c r="M5" s="28" t="n">
        <v>0</v>
      </c>
      <c r="N5" s="28" t="n">
        <v>0</v>
      </c>
      <c r="O5" s="32">
        <f>IFERROR(E5/M5-1,"")</f>
        <v/>
      </c>
      <c r="P5" s="28" t="n">
        <v>0</v>
      </c>
      <c r="Q5" s="32">
        <f>IFERROR(P5/E5-1,"")</f>
        <v/>
      </c>
    </row>
    <row r="6">
      <c r="A6" s="33" t="inlineStr">
        <is>
          <t>NVO</t>
        </is>
      </c>
      <c r="B6" s="7" t="inlineStr">
        <is>
          <t>Novo Nordisk</t>
        </is>
      </c>
      <c r="C6" s="7" t="inlineStr">
        <is>
          <t>GLP-1 drugs, diabetes &amp; obesity</t>
        </is>
      </c>
      <c r="D6" s="6" t="inlineStr">
        <is>
          <t>Medium</t>
        </is>
      </c>
      <c r="E6" s="28" t="n">
        <v>45.76</v>
      </c>
      <c r="F6" s="29" t="n">
        <v>1.238934339675222</v>
      </c>
      <c r="G6" s="28" t="n">
        <v>0</v>
      </c>
      <c r="H6" s="30" t="n">
        <v>0</v>
      </c>
      <c r="I6" s="34">
        <f>G6*H6</f>
        <v/>
      </c>
      <c r="J6" s="34">
        <f>E6*H6</f>
        <v/>
      </c>
      <c r="K6" s="34">
        <f>J6-I6</f>
        <v/>
      </c>
      <c r="L6" s="35">
        <f>IFERROR(K6/I6,"")</f>
        <v/>
      </c>
      <c r="M6" s="28" t="n">
        <v>0</v>
      </c>
      <c r="N6" s="28" t="n">
        <v>0</v>
      </c>
      <c r="O6" s="35">
        <f>IFERROR(E6/M6-1,"")</f>
        <v/>
      </c>
      <c r="P6" s="28" t="n">
        <v>0</v>
      </c>
      <c r="Q6" s="35">
        <f>IFERROR(P6/E6-1,"")</f>
        <v/>
      </c>
    </row>
    <row r="8" ht="20" customHeight="1">
      <c r="A8" s="94" t="inlineStr">
        <is>
          <t>PORTFOLIO TOTALS</t>
        </is>
      </c>
      <c r="H8" s="95">
        <f>SUM(H5:H6)</f>
        <v/>
      </c>
      <c r="I8" s="95">
        <f>SUM(I5:I6)</f>
        <v/>
      </c>
      <c r="J8" s="95">
        <f>SUM(J5:J6)</f>
        <v/>
      </c>
      <c r="K8" s="96">
        <f>IFERROR(J8/H8,"")</f>
        <v/>
      </c>
    </row>
    <row r="10" ht="22" customHeight="1">
      <c r="A10" s="97" t="inlineStr">
        <is>
          <t>📌  INVESTMENT THESIS &amp; RESEARCH NOTES</t>
        </is>
      </c>
    </row>
    <row r="11" ht="18" customHeight="1">
      <c r="A11" s="40" t="inlineStr">
        <is>
          <t xml:space="preserve">  RBRK  —  Rubrik Inc  |  Risk: Med-High</t>
        </is>
      </c>
    </row>
    <row r="12" ht="52" customHeight="1">
      <c r="A12" s="41" t="inlineStr">
        <is>
          <t>Long term investment research candidate.</t>
        </is>
      </c>
    </row>
    <row r="13" ht="18" customHeight="1">
      <c r="A13" s="40" t="inlineStr">
        <is>
          <t xml:space="preserve">  NVO  —  Novo Nordisk  |  Risk: Medium</t>
        </is>
      </c>
    </row>
    <row r="14" ht="52" customHeight="1">
      <c r="A14" s="42" t="inlineStr">
        <is>
          <t>Long term investment research candidate.</t>
        </is>
      </c>
    </row>
  </sheetData>
  <mergeCells count="9">
    <mergeCell ref="A14:Q14"/>
    <mergeCell ref="A3:Q3"/>
    <mergeCell ref="A8:G8"/>
    <mergeCell ref="A12:Q12"/>
    <mergeCell ref="A2:Q2"/>
    <mergeCell ref="A10:Q10"/>
    <mergeCell ref="A11:Q11"/>
    <mergeCell ref="A1:Q1"/>
    <mergeCell ref="A13:Q13"/>
  </mergeCells>
  <conditionalFormatting sqref="J5:J6">
    <cfRule type="cellIs" priority="1" operator="greaterThan" dxfId="0">
      <formula>0</formula>
    </cfRule>
    <cfRule type="cellIs" priority="2" operator="lessThan" dxfId="1">
      <formula>0</formula>
    </cfRule>
  </conditionalFormatting>
  <conditionalFormatting sqref="K5:K6">
    <cfRule type="cellIs" priority="1" operator="greaterThan" dxfId="0">
      <formula>0</formula>
    </cfRule>
    <cfRule type="cellIs" priority="2" operator="lessThan" dxfId="1">
      <formula>0</formula>
    </cfRule>
  </conditionalFormatting>
  <pageMargins left="0.75" right="0.75" top="1" bottom="1" header="0.5" footer="0.5"/>
</worksheet>
</file>

<file path=xl/worksheets/sheet12.xml><?xml version="1.0" encoding="utf-8"?>
<worksheet xmlns="http://schemas.openxmlformats.org/spreadsheetml/2006/main">
  <sheetPr>
    <tabColor rgb="001B2A4A"/>
    <outlinePr summaryBelow="1" summaryRight="1"/>
    <pageSetUpPr/>
  </sheetPr>
  <dimension ref="A1:G20"/>
  <sheetViews>
    <sheetView workbookViewId="0">
      <selection activeCell="A1" sqref="A1"/>
    </sheetView>
  </sheetViews>
  <sheetFormatPr baseColWidth="8" defaultRowHeight="15"/>
  <cols>
    <col width="22" customWidth="1" min="1" max="1"/>
    <col width="80" customWidth="1" min="2" max="2"/>
  </cols>
  <sheetData>
    <row r="1" ht="30" customHeight="1">
      <c r="A1" s="98" t="inlineStr">
        <is>
          <t>📝 RESEARCH NOTES &amp; INVESTMENT THESIS</t>
        </is>
      </c>
    </row>
    <row r="2" ht="35" customHeight="1">
      <c r="A2" s="99" t="inlineStr">
        <is>
          <t>401k To-Do</t>
        </is>
      </c>
      <c r="B2" s="23" t="inlineStr">
        <is>
          <t>• Transfer 401k from Accrue (Now Vestwell) → Charles Schwab
• Transfer 401k from Vanguard (1-800-523-1188) → Charles Schwab</t>
        </is>
      </c>
    </row>
    <row r="3" ht="20" customHeight="1">
      <c r="A3" s="100" t="inlineStr">
        <is>
          <t>Savings Account</t>
        </is>
      </c>
      <c r="B3" s="23" t="inlineStr">
        <is>
          <t>• Open Savings Account with Capital One (for holding taxes)</t>
        </is>
      </c>
    </row>
    <row r="4" ht="20" customHeight="1">
      <c r="A4" s="99" t="inlineStr">
        <is>
          <t>Research Tools</t>
        </is>
      </c>
      <c r="B4" s="23" t="inlineStr">
        <is>
          <t>• Learn how to use 'Unusual Whales' website — watch YouTube tutorials</t>
        </is>
      </c>
    </row>
    <row r="5" ht="20" customHeight="1">
      <c r="A5" s="100" t="inlineStr">
        <is>
          <t>Quantum Thesis</t>
        </is>
      </c>
      <c r="B5" s="23" t="inlineStr">
        <is>
          <t>Next run will be of quantum. Buy IONQ, RGTI, and QBTS. Easy 10× within 2 years.</t>
        </is>
      </c>
    </row>
    <row r="6" ht="20" customHeight="1">
      <c r="A6" s="99" t="inlineStr">
        <is>
          <t>NVTS</t>
        </is>
      </c>
      <c r="B6" s="23" t="inlineStr">
        <is>
          <t>Navitas Semiconductor — GaN power chips. AI data centers need radically more efficient power delivery. NVDA parallel: picks-and-shovels for compute growth. High-risk bet on next-gen power architecture shift.</t>
        </is>
      </c>
    </row>
    <row r="7" ht="20" customHeight="1">
      <c r="A7" s="100" t="inlineStr">
        <is>
          <t>AEHR</t>
        </is>
      </c>
      <c r="B7" s="23" t="inlineStr">
        <is>
          <t>AEHR Test Systems — Semiconductor burn-in and test equipment. AI chips require more advanced testing at scale. More chips → more testing bottleneck demand. Classic shovels in a gold rush setup.</t>
        </is>
      </c>
    </row>
    <row r="8" ht="20" customHeight="1">
      <c r="A8" s="99" t="inlineStr">
        <is>
          <t>CRDO</t>
        </is>
      </c>
      <c r="B8" s="23" t="inlineStr">
        <is>
          <t>Credo Technology — High-speed connectivity / SerDes for AI data centers. GPUs don't matter if data can't move between them. Direct exposure to AI cluster networking buildout. One of the cleanest AI infrastructure picks-and-shovels names.</t>
        </is>
      </c>
    </row>
    <row r="9" ht="20" customHeight="1">
      <c r="A9" s="100" t="inlineStr">
        <is>
          <t>ALGM</t>
        </is>
      </c>
      <c r="B9" s="23" t="inlineStr">
        <is>
          <t>Allegro MicroSystems — Power &amp; sensing semiconductors. Electrification + AI hardware power efficiency. Steady but still early in AI rerating narrative. More of a quiet compounder than hype stock.</t>
        </is>
      </c>
    </row>
    <row r="10" ht="20" customHeight="1">
      <c r="A10" s="99" t="inlineStr">
        <is>
          <t>HIMX</t>
        </is>
      </c>
      <c r="B10" s="23" t="inlineStr">
        <is>
          <t>Himax Technologies — Display drivers + AR/AI vision chips. Exposure to AI edge devices + optics. Often overlooked ADR with cyclical breakout behavior. Higher volatility, but historically rerates fast on cycles.</t>
        </is>
      </c>
    </row>
    <row r="11" ht="20" customHeight="1">
      <c r="A11" s="100" t="inlineStr">
        <is>
          <t>MTSI</t>
        </is>
      </c>
      <c r="B11" s="23" t="inlineStr">
        <is>
          <t>MACOM — RF, microwave, high-speed analog chips. AI datacenter interconnect + telecom backbone. Beneficiary of long-term bandwidth expansion trend. Less hype, more industrial AI backbone exposure.</t>
        </is>
      </c>
    </row>
    <row r="12" ht="20" customHeight="1">
      <c r="A12" s="99" t="inlineStr">
        <is>
          <t>AEVA</t>
        </is>
      </c>
      <c r="B12" s="23" t="inlineStr">
        <is>
          <t>Aeva Technologies — Lidar + sensing tech. Autonomous systems + robotics long tail. Still early commercialization phase. Pure asymmetric bet: low probability, high upside.</t>
        </is>
      </c>
    </row>
    <row r="13" ht="20" customHeight="1">
      <c r="A13" s="100" t="inlineStr">
        <is>
          <t>AI Infrastructure</t>
        </is>
      </c>
      <c r="B13" s="23" t="inlineStr">
        <is>
          <t>The AI trade is shifting down stack: Memory Names | Photonics &amp; Optics | CPU Makers (INTC, AMD, ARM, NVDA) | Actual Builders &amp; Materials (CAT, FIX, POWL) | Cooling Companies (VRT, FIX) | Power Generation &amp; Grid (GEV, BE, PWR)</t>
        </is>
      </c>
    </row>
    <row r="14" ht="20" customHeight="1">
      <c r="A14" s="99" t="inlineStr">
        <is>
          <t>LITE</t>
        </is>
      </c>
      <c r="B14" s="23" t="inlineStr">
        <is>
          <t>Lumentum — King of Photonics. Could moonshot. Critical infrastructure for AI data movement.</t>
        </is>
      </c>
    </row>
    <row r="15" ht="20" customHeight="1">
      <c r="A15" s="100" t="inlineStr">
        <is>
          <t>OKLO</t>
        </is>
      </c>
      <c r="B15" s="23" t="inlineStr">
        <is>
          <t>Nuclear SMRs and Nuclear Fuel Waste. Huge moonshot potential but big regulatory and execution risk. Worth a small percentage of portfolio because of its massive potential.</t>
        </is>
      </c>
    </row>
    <row r="16" ht="20" customHeight="1">
      <c r="A16" s="99" t="inlineStr">
        <is>
          <t>NBIS</t>
        </is>
      </c>
      <c r="B16" s="23" t="inlineStr">
        <is>
          <t>Nebius Group — Leading Neocloud that also owns Clickhouse and AV Ride. This is a modern day Amazon or Google style company — main product plus several other revenue streams that could be massive in the future. I think this will be a future Hyperscaler like GOOGL, Amazon, META.</t>
        </is>
      </c>
    </row>
    <row r="17" ht="20" customHeight="1">
      <c r="A17" s="100" t="inlineStr">
        <is>
          <t>PLTR</t>
        </is>
      </c>
      <c r="B17" s="23" t="inlineStr">
        <is>
          <t>Palantir — AI Software. So integral to the entire government AI stack and is not going anywhere soon. Outlier outside of the data center trade.</t>
        </is>
      </c>
    </row>
    <row r="18" ht="20" customHeight="1">
      <c r="A18" s="99" t="inlineStr">
        <is>
          <t>ONDS</t>
        </is>
      </c>
      <c r="B18" s="23" t="inlineStr">
        <is>
          <t>Ondas Holdings — Drones and defense tech. Government just announced a new $1.5 Trillion defense budget with $56 Billion going specifically to drones and counter-drones through the DAWG Program. Very speculative but best chance to scale after their recent acquisitions and partnerships made in March 2026.</t>
        </is>
      </c>
    </row>
    <row r="19" ht="20" customHeight="1">
      <c r="A19" s="100" t="inlineStr">
        <is>
          <t>RKLB</t>
        </is>
      </c>
      <c r="B19" s="23" t="inlineStr">
        <is>
          <t>Rocket Lab — Space Economy and Space Infrastructure. Huge future potential TAM over the next decade or two. Speculative for sure but huge upside potential that will compound over time if they can execute. Brilliant CEO. Will run into the SpaceX IPO in June in the near term.</t>
        </is>
      </c>
    </row>
    <row r="20" ht="20" customHeight="1">
      <c r="A20" s="99" t="inlineStr">
        <is>
          <t>Recommended Portfolio</t>
        </is>
      </c>
      <c r="B20" s="23" t="inlineStr">
        <is>
          <t>LRCX (stability) | DRAM ETF | LITE (photonics moonshot) | NVDA (stability) | AVGO (stability) | FIX or POWL or CAT (pick one) | GEV (stability) | BE (hydrogen moonshot) | OKLO (nuclear moonshot, small %) | NBIS (future hyperscaler)</t>
        </is>
      </c>
    </row>
  </sheetData>
  <mergeCells count="1">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2026-05-06T22:30:15Z</dcterms:created>
  <dcterms:modified xsi:type="dcterms:W3CDTF">2026-05-06T22:30:15Z</dcterms:modified>
</cp:coreProperties>
</file>