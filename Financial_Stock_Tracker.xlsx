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0.00%;0.00%"/>
  </numFmts>
  <fonts count="23">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8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22"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10:11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10:11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Investment Thesis / Notes</t>
        </is>
      </c>
    </row>
    <row r="5">
      <c r="A5" s="27" t="inlineStr">
        <is>
          <t>IONQ</t>
        </is>
      </c>
      <c r="B5" s="10" t="inlineStr">
        <is>
          <t>IonQ Inc</t>
        </is>
      </c>
      <c r="C5" s="10" t="inlineStr">
        <is>
          <t>Quantum computing hardware &amp; software</t>
        </is>
      </c>
      <c r="D5" s="9" t="inlineStr">
        <is>
          <t>Very High</t>
        </is>
      </c>
      <c r="E5" s="28" t="n">
        <v>52.57</v>
      </c>
      <c r="F5" s="29" t="n">
        <v>0.09429641329775644</v>
      </c>
      <c r="G5" s="28" t="n">
        <v>0</v>
      </c>
      <c r="H5" s="30" t="n">
        <v>0</v>
      </c>
      <c r="I5" s="31">
        <f>G5*H5</f>
        <v/>
      </c>
      <c r="J5" s="31">
        <f>E5*H5</f>
        <v/>
      </c>
      <c r="K5" s="31">
        <f>J5-I5</f>
        <v/>
      </c>
      <c r="L5" s="32">
        <f>IFERROR(K5/I5,"")</f>
        <v/>
      </c>
      <c r="M5" s="28" t="n">
        <v>0</v>
      </c>
      <c r="N5" s="28" t="n">
        <v>0</v>
      </c>
      <c r="O5" s="32">
        <f>IFERROR(E5/M5-1,"")</f>
        <v/>
      </c>
      <c r="P5" s="28" t="n">
        <v>0</v>
      </c>
      <c r="Q5" s="32">
        <f>IFERROR(P5/E5-1,"")</f>
        <v/>
      </c>
      <c r="R5" s="10" t="inlineStr">
        <is>
          <t>Next quantum run candidate. Easy 10× within 2 years potential.</t>
        </is>
      </c>
    </row>
    <row r="6">
      <c r="A6" s="33" t="inlineStr">
        <is>
          <t>RGTI</t>
        </is>
      </c>
      <c r="B6" s="7" t="inlineStr">
        <is>
          <t>Rigetti Computing</t>
        </is>
      </c>
      <c r="C6" s="7" t="inlineStr">
        <is>
          <t>Quantum computing chips &amp; systems</t>
        </is>
      </c>
      <c r="D6" s="6" t="inlineStr">
        <is>
          <t>Very High</t>
        </is>
      </c>
      <c r="E6" s="28" t="n">
        <v>20.09</v>
      </c>
      <c r="F6" s="29" t="n">
        <v>0.1038522273522322</v>
      </c>
      <c r="G6" s="28" t="n">
        <v>0</v>
      </c>
      <c r="H6" s="30" t="n">
        <v>0</v>
      </c>
      <c r="I6" s="34">
        <f>G6*H6</f>
        <v/>
      </c>
      <c r="J6" s="34">
        <f>E6*H6</f>
        <v/>
      </c>
      <c r="K6" s="34">
        <f>J6-I6</f>
        <v/>
      </c>
      <c r="L6" s="35">
        <f>IFERROR(K6/I6,"")</f>
        <v/>
      </c>
      <c r="M6" s="28" t="n">
        <v>0</v>
      </c>
      <c r="N6" s="28" t="n">
        <v>0</v>
      </c>
      <c r="O6" s="35">
        <f>IFERROR(E6/M6-1,"")</f>
        <v/>
      </c>
      <c r="P6" s="28" t="n">
        <v>0</v>
      </c>
      <c r="Q6" s="35">
        <f>IFERROR(P6/E6-1,"")</f>
        <v/>
      </c>
      <c r="R6" s="7" t="inlineStr">
        <is>
          <t>Next quantum run candidate. Easy 10× within 2 years potential.</t>
        </is>
      </c>
    </row>
    <row r="7">
      <c r="A7" s="27" t="inlineStr">
        <is>
          <t>QBTS</t>
        </is>
      </c>
      <c r="B7" s="10" t="inlineStr">
        <is>
          <t>D-Wave Quantum</t>
        </is>
      </c>
      <c r="C7" s="10" t="inlineStr">
        <is>
          <t>Quantum annealing systems</t>
        </is>
      </c>
      <c r="D7" s="9" t="inlineStr">
        <is>
          <t>Very High</t>
        </is>
      </c>
      <c r="E7" s="28" t="n">
        <v>23.83</v>
      </c>
      <c r="F7" s="29" t="n">
        <v>0.1119925302709312</v>
      </c>
      <c r="G7" s="28" t="n">
        <v>0</v>
      </c>
      <c r="H7" s="30" t="n">
        <v>0</v>
      </c>
      <c r="I7" s="31">
        <f>G7*H7</f>
        <v/>
      </c>
      <c r="J7" s="31">
        <f>E7*H7</f>
        <v/>
      </c>
      <c r="K7" s="31">
        <f>J7-I7</f>
        <v/>
      </c>
      <c r="L7" s="32">
        <f>IFERROR(K7/I7,"")</f>
        <v/>
      </c>
      <c r="M7" s="28" t="n">
        <v>0</v>
      </c>
      <c r="N7" s="28" t="n">
        <v>0</v>
      </c>
      <c r="O7" s="32">
        <f>IFERROR(E7/M7-1,"")</f>
        <v/>
      </c>
      <c r="P7" s="28" t="n">
        <v>0</v>
      </c>
      <c r="Q7" s="32">
        <f>IFERROR(P7/E7-1,"")</f>
        <v/>
      </c>
      <c r="R7" s="10" t="inlineStr">
        <is>
          <t>Next quantum run candidate. Easy 10× within 2 years potential.</t>
        </is>
      </c>
    </row>
    <row r="9" ht="20" customHeight="1">
      <c r="A9" s="36" t="inlineStr">
        <is>
          <t>PORTFOLIO TOTALS</t>
        </is>
      </c>
      <c r="H9" s="37">
        <f>SUM(H5:H7)</f>
        <v/>
      </c>
      <c r="I9" s="37">
        <f>SUM(I5:I7)</f>
        <v/>
      </c>
      <c r="J9" s="37">
        <f>SUM(J5:J7)</f>
        <v/>
      </c>
      <c r="K9" s="38">
        <f>IFERROR(J9/H9,"")</f>
        <v/>
      </c>
    </row>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12"/>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3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10:11 PM</t>
        </is>
      </c>
    </row>
    <row r="4">
      <c r="A4" s="40" t="inlineStr">
        <is>
          <t>Ticker</t>
        </is>
      </c>
      <c r="B4" s="40" t="inlineStr">
        <is>
          <t>Company</t>
        </is>
      </c>
      <c r="C4" s="40" t="inlineStr">
        <is>
          <t>Focus / Niche</t>
        </is>
      </c>
      <c r="D4" s="40" t="inlineStr">
        <is>
          <t>Risk</t>
        </is>
      </c>
      <c r="E4" s="40" t="inlineStr">
        <is>
          <t>Current
Price</t>
        </is>
      </c>
      <c r="F4" s="40" t="inlineStr">
        <is>
          <t>Today's
+/- %</t>
        </is>
      </c>
      <c r="G4" s="40" t="inlineStr">
        <is>
          <t>Purchase
Price</t>
        </is>
      </c>
      <c r="H4" s="40" t="inlineStr">
        <is>
          <t>Shares
Owned</t>
        </is>
      </c>
      <c r="I4" s="40" t="inlineStr">
        <is>
          <t>Total
Cost</t>
        </is>
      </c>
      <c r="J4" s="40" t="inlineStr">
        <is>
          <t>Current
Value</t>
        </is>
      </c>
      <c r="K4" s="40" t="inlineStr">
        <is>
          <t>P&amp;L ($)</t>
        </is>
      </c>
      <c r="L4" s="40" t="inlineStr">
        <is>
          <t>P&amp;L (%)</t>
        </is>
      </c>
      <c r="M4" s="40" t="inlineStr">
        <is>
          <t>52W
High</t>
        </is>
      </c>
      <c r="N4" s="40" t="inlineStr">
        <is>
          <t>52W
Low</t>
        </is>
      </c>
      <c r="O4" s="40" t="inlineStr">
        <is>
          <t>% from
52W High</t>
        </is>
      </c>
      <c r="P4" s="40" t="inlineStr">
        <is>
          <t>Analyst
Target</t>
        </is>
      </c>
      <c r="Q4" s="40" t="inlineStr">
        <is>
          <t>Upside to
Target</t>
        </is>
      </c>
      <c r="R4" s="40" t="inlineStr">
        <is>
          <t>Investment Thesis / Notes</t>
        </is>
      </c>
    </row>
    <row r="5">
      <c r="A5" s="27" t="inlineStr">
        <is>
          <t>NVDA</t>
        </is>
      </c>
      <c r="B5" s="10" t="inlineStr">
        <is>
          <t>NVIDIA Corp</t>
        </is>
      </c>
      <c r="C5" s="10" t="inlineStr">
        <is>
          <t>GPUs, AI compute</t>
        </is>
      </c>
      <c r="D5" s="9" t="inlineStr">
        <is>
          <t>Medium</t>
        </is>
      </c>
      <c r="E5" s="28" t="n">
        <v>207.83</v>
      </c>
      <c r="F5" s="29" t="n">
        <v>0.05272809613927784</v>
      </c>
      <c r="G5" s="28" t="n">
        <v>0</v>
      </c>
      <c r="H5" s="30" t="n">
        <v>0</v>
      </c>
      <c r="I5" s="31">
        <f>G5*H5</f>
        <v/>
      </c>
      <c r="J5" s="31">
        <f>E5*H5</f>
        <v/>
      </c>
      <c r="K5" s="31">
        <f>J5-I5</f>
        <v/>
      </c>
      <c r="L5" s="32">
        <f>IFERROR(K5/I5,"")</f>
        <v/>
      </c>
      <c r="M5" s="28" t="n">
        <v>0</v>
      </c>
      <c r="N5" s="28" t="n">
        <v>0</v>
      </c>
      <c r="O5" s="32">
        <f>IFERROR(E5/M5-1,"")</f>
        <v/>
      </c>
      <c r="P5" s="28" t="n">
        <v>0</v>
      </c>
      <c r="Q5" s="32">
        <f>IFERROR(P5/E5-1,"")</f>
        <v/>
      </c>
      <c r="R5" s="10" t="inlineStr">
        <is>
          <t>The AI compute king. Stability and steady compounder.</t>
        </is>
      </c>
    </row>
    <row r="6">
      <c r="A6" s="33" t="inlineStr">
        <is>
          <t>AVGO</t>
        </is>
      </c>
      <c r="B6" s="7" t="inlineStr">
        <is>
          <t>Broadcom Inc</t>
        </is>
      </c>
      <c r="C6" s="7" t="inlineStr">
        <is>
          <t>Semiconductors, networking</t>
        </is>
      </c>
      <c r="D6" s="6" t="inlineStr">
        <is>
          <t>Medium</t>
        </is>
      </c>
      <c r="E6" s="28" t="n">
        <v>425.44</v>
      </c>
      <c r="F6" s="41" t="n">
        <v>-0.01518517953378183</v>
      </c>
      <c r="G6" s="28" t="n">
        <v>0</v>
      </c>
      <c r="H6" s="30" t="n">
        <v>0</v>
      </c>
      <c r="I6" s="34">
        <f>G6*H6</f>
        <v/>
      </c>
      <c r="J6" s="34">
        <f>E6*H6</f>
        <v/>
      </c>
      <c r="K6" s="34">
        <f>J6-I6</f>
        <v/>
      </c>
      <c r="L6" s="35">
        <f>IFERROR(K6/I6,"")</f>
        <v/>
      </c>
      <c r="M6" s="28" t="n">
        <v>0</v>
      </c>
      <c r="N6" s="28" t="n">
        <v>0</v>
      </c>
      <c r="O6" s="35">
        <f>IFERROR(E6/M6-1,"")</f>
        <v/>
      </c>
      <c r="P6" s="28" t="n">
        <v>0</v>
      </c>
      <c r="Q6" s="35">
        <f>IFERROR(P6/E6-1,"")</f>
        <v/>
      </c>
      <c r="R6" s="7" t="inlineStr">
        <is>
          <t>Stability and steady compounder.</t>
        </is>
      </c>
    </row>
    <row r="7">
      <c r="A7" s="27" t="inlineStr">
        <is>
          <t>LRCX</t>
        </is>
      </c>
      <c r="B7" s="10" t="inlineStr">
        <is>
          <t>Lam Research</t>
        </is>
      </c>
      <c r="C7" s="10" t="inlineStr">
        <is>
          <t>Semiconductor equipment, DRAM</t>
        </is>
      </c>
      <c r="D7" s="9" t="inlineStr">
        <is>
          <t>Medium</t>
        </is>
      </c>
      <c r="E7" s="28" t="n">
        <v>297.17</v>
      </c>
      <c r="F7" s="29" t="n">
        <v>0.06196624174582565</v>
      </c>
      <c r="G7" s="28" t="n">
        <v>0</v>
      </c>
      <c r="H7" s="30" t="n">
        <v>0</v>
      </c>
      <c r="I7" s="31">
        <f>G7*H7</f>
        <v/>
      </c>
      <c r="J7" s="31">
        <f>E7*H7</f>
        <v/>
      </c>
      <c r="K7" s="31">
        <f>J7-I7</f>
        <v/>
      </c>
      <c r="L7" s="32">
        <f>IFERROR(K7/I7,"")</f>
        <v/>
      </c>
      <c r="M7" s="28" t="n">
        <v>0</v>
      </c>
      <c r="N7" s="28" t="n">
        <v>0</v>
      </c>
      <c r="O7" s="32">
        <f>IFERROR(E7/M7-1,"")</f>
        <v/>
      </c>
      <c r="P7" s="28" t="n">
        <v>0</v>
      </c>
      <c r="Q7" s="32">
        <f>IFERROR(P7/E7-1,"")</f>
        <v/>
      </c>
      <c r="R7" s="10" t="inlineStr">
        <is>
          <t>Stability and steady compounder. DRAM equipment leader.</t>
        </is>
      </c>
    </row>
    <row r="8">
      <c r="A8" s="33" t="inlineStr">
        <is>
          <t>AMD</t>
        </is>
      </c>
      <c r="B8" s="7" t="inlineStr">
        <is>
          <t>Advanced Micro Devices</t>
        </is>
      </c>
      <c r="C8" s="7" t="inlineStr">
        <is>
          <t>CPUs, GPUs, AI chips</t>
        </is>
      </c>
      <c r="D8" s="6" t="inlineStr">
        <is>
          <t>Medium</t>
        </is>
      </c>
      <c r="E8" s="28" t="n">
        <v>421.39</v>
      </c>
      <c r="F8" s="29" t="n">
        <v>0.017850276928593</v>
      </c>
      <c r="G8" s="28" t="n">
        <v>0</v>
      </c>
      <c r="H8" s="30" t="n">
        <v>0</v>
      </c>
      <c r="I8" s="34">
        <f>G8*H8</f>
        <v/>
      </c>
      <c r="J8" s="34">
        <f>E8*H8</f>
        <v/>
      </c>
      <c r="K8" s="34">
        <f>J8-I8</f>
        <v/>
      </c>
      <c r="L8" s="35">
        <f>IFERROR(K8/I8,"")</f>
        <v/>
      </c>
      <c r="M8" s="28" t="n">
        <v>0</v>
      </c>
      <c r="N8" s="28" t="n">
        <v>0</v>
      </c>
      <c r="O8" s="35">
        <f>IFERROR(E8/M8-1,"")</f>
        <v/>
      </c>
      <c r="P8" s="28" t="n">
        <v>0</v>
      </c>
      <c r="Q8" s="35">
        <f>IFERROR(P8/E8-1,"")</f>
        <v/>
      </c>
      <c r="R8" s="7" t="inlineStr">
        <is>
          <t>CPU maker deep in the AI infrastructure stack.</t>
        </is>
      </c>
    </row>
    <row r="9">
      <c r="A9" s="27" t="inlineStr">
        <is>
          <t>INTC</t>
        </is>
      </c>
      <c r="B9" s="10" t="inlineStr">
        <is>
          <t>Intel Corp</t>
        </is>
      </c>
      <c r="C9" s="10" t="inlineStr">
        <is>
          <t>CPUs, AI accelerators</t>
        </is>
      </c>
      <c r="D9" s="9" t="inlineStr">
        <is>
          <t>Med-High</t>
        </is>
      </c>
      <c r="E9" s="28" t="n">
        <v>113.01</v>
      </c>
      <c r="F9" s="41" t="n">
        <v>-0.002999540042077861</v>
      </c>
      <c r="G9" s="28" t="n">
        <v>0</v>
      </c>
      <c r="H9" s="30" t="n">
        <v>0</v>
      </c>
      <c r="I9" s="31">
        <f>G9*H9</f>
        <v/>
      </c>
      <c r="J9" s="31">
        <f>E9*H9</f>
        <v/>
      </c>
      <c r="K9" s="31">
        <f>J9-I9</f>
        <v/>
      </c>
      <c r="L9" s="32">
        <f>IFERROR(K9/I9,"")</f>
        <v/>
      </c>
      <c r="M9" s="28" t="n">
        <v>0</v>
      </c>
      <c r="N9" s="28" t="n">
        <v>0</v>
      </c>
      <c r="O9" s="32">
        <f>IFERROR(E9/M9-1,"")</f>
        <v/>
      </c>
      <c r="P9" s="28" t="n">
        <v>0</v>
      </c>
      <c r="Q9" s="32">
        <f>IFERROR(P9/E9-1,"")</f>
        <v/>
      </c>
      <c r="R9" s="10" t="inlineStr">
        <is>
          <t>CPU maker in AI infrastructure stack. Turnaround story.</t>
        </is>
      </c>
    </row>
    <row r="10">
      <c r="A10" s="33" t="inlineStr">
        <is>
          <t>ARM</t>
        </is>
      </c>
      <c r="B10" s="7" t="inlineStr">
        <is>
          <t>Arm Holdings</t>
        </is>
      </c>
      <c r="C10" s="7" t="inlineStr">
        <is>
          <t>Chip architecture licensing</t>
        </is>
      </c>
      <c r="D10" s="6" t="inlineStr">
        <is>
          <t>Medium</t>
        </is>
      </c>
      <c r="E10" s="28" t="n">
        <v>237.3</v>
      </c>
      <c r="F10" s="29" t="n">
        <v>0.04893251581027195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c r="R10" s="7" t="inlineStr">
        <is>
          <t>Architecture behind most AI edge chips. Royalty model.</t>
        </is>
      </c>
    </row>
    <row r="12" ht="20" customHeight="1">
      <c r="A12" s="42" t="inlineStr">
        <is>
          <t>PORTFOLIO TOTALS</t>
        </is>
      </c>
      <c r="H12" s="43">
        <f>SUM(H5:H10)</f>
        <v/>
      </c>
      <c r="I12" s="43">
        <f>SUM(I5:I10)</f>
        <v/>
      </c>
      <c r="J12" s="43">
        <f>SUM(J5:J10)</f>
        <v/>
      </c>
      <c r="K12" s="44">
        <f>IFERROR(J12/H12,"")</f>
        <v/>
      </c>
    </row>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4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10:11 PM</t>
        </is>
      </c>
    </row>
    <row r="4">
      <c r="A4" s="46" t="inlineStr">
        <is>
          <t>Ticker</t>
        </is>
      </c>
      <c r="B4" s="46" t="inlineStr">
        <is>
          <t>Company</t>
        </is>
      </c>
      <c r="C4" s="46" t="inlineStr">
        <is>
          <t>Focus / Niche</t>
        </is>
      </c>
      <c r="D4" s="46" t="inlineStr">
        <is>
          <t>Risk</t>
        </is>
      </c>
      <c r="E4" s="46" t="inlineStr">
        <is>
          <t>Current
Price</t>
        </is>
      </c>
      <c r="F4" s="46" t="inlineStr">
        <is>
          <t>Today's
+/- %</t>
        </is>
      </c>
      <c r="G4" s="46" t="inlineStr">
        <is>
          <t>Purchase
Price</t>
        </is>
      </c>
      <c r="H4" s="46" t="inlineStr">
        <is>
          <t>Shares
Owned</t>
        </is>
      </c>
      <c r="I4" s="46" t="inlineStr">
        <is>
          <t>Total
Cost</t>
        </is>
      </c>
      <c r="J4" s="46" t="inlineStr">
        <is>
          <t>Current
Value</t>
        </is>
      </c>
      <c r="K4" s="46" t="inlineStr">
        <is>
          <t>P&amp;L ($)</t>
        </is>
      </c>
      <c r="L4" s="46" t="inlineStr">
        <is>
          <t>P&amp;L (%)</t>
        </is>
      </c>
      <c r="M4" s="46" t="inlineStr">
        <is>
          <t>52W
High</t>
        </is>
      </c>
      <c r="N4" s="46" t="inlineStr">
        <is>
          <t>52W
Low</t>
        </is>
      </c>
      <c r="O4" s="46" t="inlineStr">
        <is>
          <t>% from
52W High</t>
        </is>
      </c>
      <c r="P4" s="46" t="inlineStr">
        <is>
          <t>Analyst
Target</t>
        </is>
      </c>
      <c r="Q4" s="46" t="inlineStr">
        <is>
          <t>Upside to
Target</t>
        </is>
      </c>
      <c r="R4" s="46" t="inlineStr">
        <is>
          <t>Investment Thesis / Notes</t>
        </is>
      </c>
    </row>
    <row r="5">
      <c r="A5" s="27" t="inlineStr">
        <is>
          <t>NVTS</t>
        </is>
      </c>
      <c r="B5" s="10" t="inlineStr">
        <is>
          <t>Navitas Semiconductor</t>
        </is>
      </c>
      <c r="C5" s="10" t="inlineStr">
        <is>
          <t>GaN power chips for AI data centers</t>
        </is>
      </c>
      <c r="D5" s="9" t="inlineStr">
        <is>
          <t>High</t>
        </is>
      </c>
      <c r="E5" s="28" t="n">
        <v>16.68</v>
      </c>
      <c r="F5" s="29" t="n">
        <v>0.0127504739025976</v>
      </c>
      <c r="G5" s="28" t="n">
        <v>0</v>
      </c>
      <c r="H5" s="30" t="n">
        <v>0</v>
      </c>
      <c r="I5" s="31">
        <f>G5*H5</f>
        <v/>
      </c>
      <c r="J5" s="31">
        <f>E5*H5</f>
        <v/>
      </c>
      <c r="K5" s="31">
        <f>J5-I5</f>
        <v/>
      </c>
      <c r="L5" s="32">
        <f>IFERROR(K5/I5,"")</f>
        <v/>
      </c>
      <c r="M5" s="28" t="n">
        <v>0</v>
      </c>
      <c r="N5" s="28" t="n">
        <v>0</v>
      </c>
      <c r="O5" s="32">
        <f>IFERROR(E5/M5-1,"")</f>
        <v/>
      </c>
      <c r="P5" s="28" t="n">
        <v>0</v>
      </c>
      <c r="Q5" s="32">
        <f>IFERROR(P5/E5-1,"")</f>
        <v/>
      </c>
      <c r="R5" s="10" t="inlineStr">
        <is>
          <t>AI data centers need radically more efficient power delivery. Picks-and-shovels for compute growth.</t>
        </is>
      </c>
    </row>
    <row r="6">
      <c r="A6" s="33" t="inlineStr">
        <is>
          <t>AEHR</t>
        </is>
      </c>
      <c r="B6" s="7" t="inlineStr">
        <is>
          <t>AEHR Test Systems</t>
        </is>
      </c>
      <c r="C6" s="7" t="inlineStr">
        <is>
          <t>Semiconductor burn-in &amp; test equipment</t>
        </is>
      </c>
      <c r="D6" s="6" t="inlineStr">
        <is>
          <t>High</t>
        </is>
      </c>
      <c r="E6" s="28" t="n">
        <v>96.73</v>
      </c>
      <c r="F6" s="29" t="n">
        <v>0.06176529155937345</v>
      </c>
      <c r="G6" s="28" t="n">
        <v>0</v>
      </c>
      <c r="H6" s="30" t="n">
        <v>0</v>
      </c>
      <c r="I6" s="34">
        <f>G6*H6</f>
        <v/>
      </c>
      <c r="J6" s="34">
        <f>E6*H6</f>
        <v/>
      </c>
      <c r="K6" s="34">
        <f>J6-I6</f>
        <v/>
      </c>
      <c r="L6" s="35">
        <f>IFERROR(K6/I6,"")</f>
        <v/>
      </c>
      <c r="M6" s="28" t="n">
        <v>0</v>
      </c>
      <c r="N6" s="28" t="n">
        <v>0</v>
      </c>
      <c r="O6" s="35">
        <f>IFERROR(E6/M6-1,"")</f>
        <v/>
      </c>
      <c r="P6" s="28" t="n">
        <v>0</v>
      </c>
      <c r="Q6" s="35">
        <f>IFERROR(P6/E6-1,"")</f>
        <v/>
      </c>
      <c r="R6" s="7" t="inlineStr">
        <is>
          <t>Classic shovels in a gold rush. More AI chips = more testing bottleneck demand.</t>
        </is>
      </c>
    </row>
    <row r="7">
      <c r="A7" s="27" t="inlineStr">
        <is>
          <t>CRDO</t>
        </is>
      </c>
      <c r="B7" s="10" t="inlineStr">
        <is>
          <t>Credo Technology</t>
        </is>
      </c>
      <c r="C7" s="10" t="inlineStr">
        <is>
          <t>High-speed connectivity / SerDes for AI DCs</t>
        </is>
      </c>
      <c r="D7" s="9" t="inlineStr">
        <is>
          <t>High</t>
        </is>
      </c>
      <c r="E7" s="28" t="n">
        <v>198.29</v>
      </c>
      <c r="F7" s="41" t="n">
        <v>-0.001057968331824622</v>
      </c>
      <c r="G7" s="28" t="n">
        <v>0</v>
      </c>
      <c r="H7" s="30" t="n">
        <v>0</v>
      </c>
      <c r="I7" s="31">
        <f>G7*H7</f>
        <v/>
      </c>
      <c r="J7" s="31">
        <f>E7*H7</f>
        <v/>
      </c>
      <c r="K7" s="31">
        <f>J7-I7</f>
        <v/>
      </c>
      <c r="L7" s="32">
        <f>IFERROR(K7/I7,"")</f>
        <v/>
      </c>
      <c r="M7" s="28" t="n">
        <v>0</v>
      </c>
      <c r="N7" s="28" t="n">
        <v>0</v>
      </c>
      <c r="O7" s="32">
        <f>IFERROR(E7/M7-1,"")</f>
        <v/>
      </c>
      <c r="P7" s="28" t="n">
        <v>0</v>
      </c>
      <c r="Q7" s="32">
        <f>IFERROR(P7/E7-1,"")</f>
        <v/>
      </c>
      <c r="R7" s="10" t="inlineStr">
        <is>
          <t>GPUs don't matter if data can't move between them. Cleanest AI infrastructure picks-and-shovels name.</t>
        </is>
      </c>
    </row>
    <row r="8">
      <c r="A8" s="33" t="inlineStr">
        <is>
          <t>ALGM</t>
        </is>
      </c>
      <c r="B8" s="7" t="inlineStr">
        <is>
          <t>Allegro MicroSystems</t>
        </is>
      </c>
      <c r="C8" s="7" t="inlineStr">
        <is>
          <t>Power &amp; sensing semiconductors</t>
        </is>
      </c>
      <c r="D8" s="6" t="inlineStr">
        <is>
          <t>Med-High</t>
        </is>
      </c>
      <c r="E8" s="28" t="n">
        <v>51.37</v>
      </c>
      <c r="F8" s="29" t="n">
        <v>0.027541779403253</v>
      </c>
      <c r="G8" s="28" t="n">
        <v>0</v>
      </c>
      <c r="H8" s="30" t="n">
        <v>0</v>
      </c>
      <c r="I8" s="34">
        <f>G8*H8</f>
        <v/>
      </c>
      <c r="J8" s="34">
        <f>E8*H8</f>
        <v/>
      </c>
      <c r="K8" s="34">
        <f>J8-I8</f>
        <v/>
      </c>
      <c r="L8" s="35">
        <f>IFERROR(K8/I8,"")</f>
        <v/>
      </c>
      <c r="M8" s="28" t="n">
        <v>0</v>
      </c>
      <c r="N8" s="28" t="n">
        <v>0</v>
      </c>
      <c r="O8" s="35">
        <f>IFERROR(E8/M8-1,"")</f>
        <v/>
      </c>
      <c r="P8" s="28" t="n">
        <v>0</v>
      </c>
      <c r="Q8" s="35">
        <f>IFERROR(P8/E8-1,"")</f>
        <v/>
      </c>
      <c r="R8" s="7" t="inlineStr">
        <is>
          <t>Electrification + AI hardware power efficiency. Quiet compounder, early in AI rerating narrative.</t>
        </is>
      </c>
    </row>
    <row r="9">
      <c r="A9" s="27" t="inlineStr">
        <is>
          <t>HIMX</t>
        </is>
      </c>
      <c r="B9" s="10" t="inlineStr">
        <is>
          <t>Himax Technologies</t>
        </is>
      </c>
      <c r="C9" s="10" t="inlineStr">
        <is>
          <t>Display drivers + AR/AI vision chips</t>
        </is>
      </c>
      <c r="D9" s="9" t="inlineStr">
        <is>
          <t>High</t>
        </is>
      </c>
      <c r="E9" s="28" t="n">
        <v>12.33</v>
      </c>
      <c r="F9" s="41" t="n">
        <v>-0.002830576327856492</v>
      </c>
      <c r="G9" s="28" t="n">
        <v>0</v>
      </c>
      <c r="H9" s="30" t="n">
        <v>0</v>
      </c>
      <c r="I9" s="31">
        <f>G9*H9</f>
        <v/>
      </c>
      <c r="J9" s="31">
        <f>E9*H9</f>
        <v/>
      </c>
      <c r="K9" s="31">
        <f>J9-I9</f>
        <v/>
      </c>
      <c r="L9" s="32">
        <f>IFERROR(K9/I9,"")</f>
        <v/>
      </c>
      <c r="M9" s="28" t="n">
        <v>0</v>
      </c>
      <c r="N9" s="28" t="n">
        <v>0</v>
      </c>
      <c r="O9" s="32">
        <f>IFERROR(E9/M9-1,"")</f>
        <v/>
      </c>
      <c r="P9" s="28" t="n">
        <v>0</v>
      </c>
      <c r="Q9" s="32">
        <f>IFERROR(P9/E9-1,"")</f>
        <v/>
      </c>
      <c r="R9" s="10" t="inlineStr">
        <is>
          <t>Exposure to AI edge devices + optics. Higher volatility, historically rerates fast on cycles.</t>
        </is>
      </c>
    </row>
    <row r="10">
      <c r="A10" s="33" t="inlineStr">
        <is>
          <t>MTSI</t>
        </is>
      </c>
      <c r="B10" s="7" t="inlineStr">
        <is>
          <t>MACOM Technology</t>
        </is>
      </c>
      <c r="C10" s="7" t="inlineStr">
        <is>
          <t>RF, microwave, high-speed analog chips</t>
        </is>
      </c>
      <c r="D10" s="6" t="inlineStr">
        <is>
          <t>Med-High</t>
        </is>
      </c>
      <c r="E10" s="28" t="n">
        <v>309.81</v>
      </c>
      <c r="F10" s="29" t="n">
        <v>0.0275621809571932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c r="R10" s="7" t="inlineStr">
        <is>
          <t>AI datacenter interconnect + telecom backbone. Less hype, more industrial AI backbone exposure.</t>
        </is>
      </c>
    </row>
    <row r="11">
      <c r="A11" s="27" t="inlineStr">
        <is>
          <t>AEVA</t>
        </is>
      </c>
      <c r="B11" s="10" t="inlineStr">
        <is>
          <t>Aeva Technologies</t>
        </is>
      </c>
      <c r="C11" s="10" t="inlineStr">
        <is>
          <t>Lidar + sensing for autonomous systems</t>
        </is>
      </c>
      <c r="D11" s="9" t="inlineStr">
        <is>
          <t>Very High</t>
        </is>
      </c>
      <c r="E11" s="28" t="n">
        <v>16.57</v>
      </c>
      <c r="F11" s="29" t="n">
        <v>0.07110534549607098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10" t="inlineStr">
        <is>
          <t>Autonomous systems + robotics long tail. Pure asymmetric bet: low probability, high upside.</t>
        </is>
      </c>
    </row>
    <row r="13" ht="20" customHeight="1">
      <c r="A13" s="47" t="inlineStr">
        <is>
          <t>PORTFOLIO TOTALS</t>
        </is>
      </c>
      <c r="H13" s="48">
        <f>SUM(H5:H11)</f>
        <v/>
      </c>
      <c r="I13" s="48">
        <f>SUM(I5:I11)</f>
        <v/>
      </c>
      <c r="J13" s="48">
        <f>SUM(J5:J11)</f>
        <v/>
      </c>
      <c r="K13" s="49">
        <f>IFERROR(J13/H13,"")</f>
        <v/>
      </c>
    </row>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50"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10:11 PM</t>
        </is>
      </c>
    </row>
    <row r="4">
      <c r="A4" s="51" t="inlineStr">
        <is>
          <t>Ticker</t>
        </is>
      </c>
      <c r="B4" s="51" t="inlineStr">
        <is>
          <t>Company</t>
        </is>
      </c>
      <c r="C4" s="51" t="inlineStr">
        <is>
          <t>Focus / Niche</t>
        </is>
      </c>
      <c r="D4" s="51" t="inlineStr">
        <is>
          <t>Risk</t>
        </is>
      </c>
      <c r="E4" s="51" t="inlineStr">
        <is>
          <t>Current
Price</t>
        </is>
      </c>
      <c r="F4" s="51" t="inlineStr">
        <is>
          <t>Today's
+/- %</t>
        </is>
      </c>
      <c r="G4" s="51" t="inlineStr">
        <is>
          <t>Purchase
Price</t>
        </is>
      </c>
      <c r="H4" s="51" t="inlineStr">
        <is>
          <t>Shares
Owned</t>
        </is>
      </c>
      <c r="I4" s="51" t="inlineStr">
        <is>
          <t>Total
Cost</t>
        </is>
      </c>
      <c r="J4" s="51" t="inlineStr">
        <is>
          <t>Current
Value</t>
        </is>
      </c>
      <c r="K4" s="51" t="inlineStr">
        <is>
          <t>P&amp;L ($)</t>
        </is>
      </c>
      <c r="L4" s="51" t="inlineStr">
        <is>
          <t>P&amp;L (%)</t>
        </is>
      </c>
      <c r="M4" s="51" t="inlineStr">
        <is>
          <t>52W
High</t>
        </is>
      </c>
      <c r="N4" s="51" t="inlineStr">
        <is>
          <t>52W
Low</t>
        </is>
      </c>
      <c r="O4" s="51" t="inlineStr">
        <is>
          <t>% from
52W High</t>
        </is>
      </c>
      <c r="P4" s="51" t="inlineStr">
        <is>
          <t>Analyst
Target</t>
        </is>
      </c>
      <c r="Q4" s="51" t="inlineStr">
        <is>
          <t>Upside to
Target</t>
        </is>
      </c>
      <c r="R4" s="51" t="inlineStr">
        <is>
          <t>Investment Thesis / Notes</t>
        </is>
      </c>
    </row>
    <row r="5">
      <c r="A5" s="27" t="inlineStr">
        <is>
          <t>LITE</t>
        </is>
      </c>
      <c r="B5" s="10" t="inlineStr">
        <is>
          <t>Lumentum Holdings</t>
        </is>
      </c>
      <c r="C5" s="10" t="inlineStr">
        <is>
          <t>Photonics, optical components for AI DCs</t>
        </is>
      </c>
      <c r="D5" s="9" t="inlineStr">
        <is>
          <t>High</t>
        </is>
      </c>
      <c r="E5" s="28" t="n">
        <v>944.28</v>
      </c>
      <c r="F5" s="41" t="n">
        <v>-0.01642619728464659</v>
      </c>
      <c r="G5" s="28" t="n">
        <v>0</v>
      </c>
      <c r="H5" s="30" t="n">
        <v>0</v>
      </c>
      <c r="I5" s="31">
        <f>G5*H5</f>
        <v/>
      </c>
      <c r="J5" s="31">
        <f>E5*H5</f>
        <v/>
      </c>
      <c r="K5" s="31">
        <f>J5-I5</f>
        <v/>
      </c>
      <c r="L5" s="32">
        <f>IFERROR(K5/I5,"")</f>
        <v/>
      </c>
      <c r="M5" s="28" t="n">
        <v>0</v>
      </c>
      <c r="N5" s="28" t="n">
        <v>0</v>
      </c>
      <c r="O5" s="32">
        <f>IFERROR(E5/M5-1,"")</f>
        <v/>
      </c>
      <c r="P5" s="28" t="n">
        <v>0</v>
      </c>
      <c r="Q5" s="32">
        <f>IFERROR(P5/E5-1,"")</f>
        <v/>
      </c>
      <c r="R5" s="10" t="inlineStr">
        <is>
          <t>King of Photonics. Could moonshot. Key bottleneck in AI data movement. Critical infrastructure.</t>
        </is>
      </c>
    </row>
    <row r="7" ht="20" customHeight="1">
      <c r="A7" s="52" t="inlineStr">
        <is>
          <t>PORTFOLIO TOTALS</t>
        </is>
      </c>
      <c r="H7" s="53">
        <f>SUM(H5:H5)</f>
        <v/>
      </c>
      <c r="I7" s="53">
        <f>SUM(I5:I5)</f>
        <v/>
      </c>
      <c r="J7" s="53">
        <f>SUM(J5:J5)</f>
        <v/>
      </c>
      <c r="K7" s="54">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55"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10:11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c r="R4" s="56" t="inlineStr">
        <is>
          <t>Investment Thesis / Notes</t>
        </is>
      </c>
    </row>
    <row r="5">
      <c r="A5" s="27" t="inlineStr">
        <is>
          <t>CAT</t>
        </is>
      </c>
      <c r="B5" s="10" t="inlineStr">
        <is>
          <t>Caterpillar Inc</t>
        </is>
      </c>
      <c r="C5" s="10" t="inlineStr">
        <is>
          <t>Heavy equipment, construction</t>
        </is>
      </c>
      <c r="D5" s="9" t="inlineStr">
        <is>
          <t>Low-Med</t>
        </is>
      </c>
      <c r="E5" s="28" t="n">
        <v>926.9299999999999</v>
      </c>
      <c r="F5" s="29" t="n">
        <v>0.01762031516311836</v>
      </c>
      <c r="G5" s="28" t="n">
        <v>0</v>
      </c>
      <c r="H5" s="30" t="n">
        <v>0</v>
      </c>
      <c r="I5" s="31">
        <f>G5*H5</f>
        <v/>
      </c>
      <c r="J5" s="31">
        <f>E5*H5</f>
        <v/>
      </c>
      <c r="K5" s="31">
        <f>J5-I5</f>
        <v/>
      </c>
      <c r="L5" s="32">
        <f>IFERROR(K5/I5,"")</f>
        <v/>
      </c>
      <c r="M5" s="28" t="n">
        <v>0</v>
      </c>
      <c r="N5" s="28" t="n">
        <v>0</v>
      </c>
      <c r="O5" s="32">
        <f>IFERROR(E5/M5-1,"")</f>
        <v/>
      </c>
      <c r="P5" s="28" t="n">
        <v>0</v>
      </c>
      <c r="Q5" s="32">
        <f>IFERROR(P5/E5-1,"")</f>
        <v/>
      </c>
      <c r="R5" s="10" t="inlineStr">
        <is>
          <t>Actual builder and materials company in the AI data center trade.</t>
        </is>
      </c>
    </row>
    <row r="6">
      <c r="A6" s="33" t="inlineStr">
        <is>
          <t>FIX</t>
        </is>
      </c>
      <c r="B6" s="7" t="inlineStr">
        <is>
          <t>Comfort Systems USA</t>
        </is>
      </c>
      <c r="C6" s="7" t="inlineStr">
        <is>
          <t>HVAC, mechanical, electrical for DCs</t>
        </is>
      </c>
      <c r="D6" s="6" t="inlineStr">
        <is>
          <t>Medium</t>
        </is>
      </c>
      <c r="E6" s="28" t="n">
        <v>2011.49</v>
      </c>
      <c r="F6" s="29" t="n">
        <v>0.01284503883945205</v>
      </c>
      <c r="G6" s="28" t="n">
        <v>0</v>
      </c>
      <c r="H6" s="30" t="n">
        <v>0</v>
      </c>
      <c r="I6" s="34">
        <f>G6*H6</f>
        <v/>
      </c>
      <c r="J6" s="34">
        <f>E6*H6</f>
        <v/>
      </c>
      <c r="K6" s="34">
        <f>J6-I6</f>
        <v/>
      </c>
      <c r="L6" s="35">
        <f>IFERROR(K6/I6,"")</f>
        <v/>
      </c>
      <c r="M6" s="28" t="n">
        <v>0</v>
      </c>
      <c r="N6" s="28" t="n">
        <v>0</v>
      </c>
      <c r="O6" s="35">
        <f>IFERROR(E6/M6-1,"")</f>
        <v/>
      </c>
      <c r="P6" s="28" t="n">
        <v>0</v>
      </c>
      <c r="Q6" s="35">
        <f>IFERROR(P6/E6-1,"")</f>
        <v/>
      </c>
      <c r="R6" s="7" t="inlineStr">
        <is>
          <t>Builder AND cooling company. AI data center HVAC &amp; MEP systems. Major growing bottleneck.</t>
        </is>
      </c>
    </row>
    <row r="7">
      <c r="A7" s="27" t="inlineStr">
        <is>
          <t>POWL</t>
        </is>
      </c>
      <c r="B7" s="10" t="inlineStr">
        <is>
          <t>Powell Industries</t>
        </is>
      </c>
      <c r="C7" s="10" t="inlineStr">
        <is>
          <t>Electrical infrastructure for DCs</t>
        </is>
      </c>
      <c r="D7" s="9" t="inlineStr">
        <is>
          <t>Medium</t>
        </is>
      </c>
      <c r="E7" s="28" t="n">
        <v>320.3</v>
      </c>
      <c r="F7" s="29" t="n">
        <v>0.06766662597656251</v>
      </c>
      <c r="G7" s="28" t="n">
        <v>0</v>
      </c>
      <c r="H7" s="30" t="n">
        <v>0</v>
      </c>
      <c r="I7" s="31">
        <f>G7*H7</f>
        <v/>
      </c>
      <c r="J7" s="31">
        <f>E7*H7</f>
        <v/>
      </c>
      <c r="K7" s="31">
        <f>J7-I7</f>
        <v/>
      </c>
      <c r="L7" s="32">
        <f>IFERROR(K7/I7,"")</f>
        <v/>
      </c>
      <c r="M7" s="28" t="n">
        <v>0</v>
      </c>
      <c r="N7" s="28" t="n">
        <v>0</v>
      </c>
      <c r="O7" s="32">
        <f>IFERROR(E7/M7-1,"")</f>
        <v/>
      </c>
      <c r="P7" s="28" t="n">
        <v>0</v>
      </c>
      <c r="Q7" s="32">
        <f>IFERROR(P7/E7-1,"")</f>
        <v/>
      </c>
      <c r="R7" s="10" t="inlineStr">
        <is>
          <t>Electrical infrastructure builder for AI data centers.</t>
        </is>
      </c>
    </row>
    <row r="8">
      <c r="A8" s="33" t="inlineStr">
        <is>
          <t>VRT</t>
        </is>
      </c>
      <c r="B8" s="7" t="inlineStr">
        <is>
          <t>Vertiv Holdings</t>
        </is>
      </c>
      <c r="C8" s="7" t="inlineStr">
        <is>
          <t>Cooling systems for AI data centers</t>
        </is>
      </c>
      <c r="D8" s="6" t="inlineStr">
        <is>
          <t>Medium</t>
        </is>
      </c>
      <c r="E8" s="28" t="n">
        <v>358.92</v>
      </c>
      <c r="F8" s="29" t="n">
        <v>0.02939746301010801</v>
      </c>
      <c r="G8" s="28" t="n">
        <v>0</v>
      </c>
      <c r="H8" s="30" t="n">
        <v>0</v>
      </c>
      <c r="I8" s="34">
        <f>G8*H8</f>
        <v/>
      </c>
      <c r="J8" s="34">
        <f>E8*H8</f>
        <v/>
      </c>
      <c r="K8" s="34">
        <f>J8-I8</f>
        <v/>
      </c>
      <c r="L8" s="35">
        <f>IFERROR(K8/I8,"")</f>
        <v/>
      </c>
      <c r="M8" s="28" t="n">
        <v>0</v>
      </c>
      <c r="N8" s="28" t="n">
        <v>0</v>
      </c>
      <c r="O8" s="35">
        <f>IFERROR(E8/M8-1,"")</f>
        <v/>
      </c>
      <c r="P8" s="28" t="n">
        <v>0</v>
      </c>
      <c r="Q8" s="35">
        <f>IFERROR(P8/E8-1,"")</f>
        <v/>
      </c>
      <c r="R8" s="7" t="inlineStr">
        <is>
          <t>Premier AI data center cooling play. Cooling is a growing bottleneck.</t>
        </is>
      </c>
    </row>
    <row r="10" ht="20" customHeight="1">
      <c r="A10" s="57" t="inlineStr">
        <is>
          <t>PORTFOLIO TOTALS</t>
        </is>
      </c>
      <c r="H10" s="58">
        <f>SUM(H5:H8)</f>
        <v/>
      </c>
      <c r="I10" s="58">
        <f>SUM(I5:I8)</f>
        <v/>
      </c>
      <c r="J10" s="58">
        <f>SUM(J5:J8)</f>
        <v/>
      </c>
      <c r="K10" s="59">
        <f>IFERROR(J10/H10,"")</f>
        <v/>
      </c>
    </row>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60"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10:11 PM</t>
        </is>
      </c>
    </row>
    <row r="4">
      <c r="A4" s="61" t="inlineStr">
        <is>
          <t>Ticker</t>
        </is>
      </c>
      <c r="B4" s="61" t="inlineStr">
        <is>
          <t>Company</t>
        </is>
      </c>
      <c r="C4" s="61" t="inlineStr">
        <is>
          <t>Focus / Niche</t>
        </is>
      </c>
      <c r="D4" s="61" t="inlineStr">
        <is>
          <t>Risk</t>
        </is>
      </c>
      <c r="E4" s="61" t="inlineStr">
        <is>
          <t>Current
Price</t>
        </is>
      </c>
      <c r="F4" s="61" t="inlineStr">
        <is>
          <t>Today's
+/- %</t>
        </is>
      </c>
      <c r="G4" s="61" t="inlineStr">
        <is>
          <t>Purchase
Price</t>
        </is>
      </c>
      <c r="H4" s="61" t="inlineStr">
        <is>
          <t>Shares
Owned</t>
        </is>
      </c>
      <c r="I4" s="61" t="inlineStr">
        <is>
          <t>Total
Cost</t>
        </is>
      </c>
      <c r="J4" s="61" t="inlineStr">
        <is>
          <t>Current
Value</t>
        </is>
      </c>
      <c r="K4" s="61" t="inlineStr">
        <is>
          <t>P&amp;L ($)</t>
        </is>
      </c>
      <c r="L4" s="61" t="inlineStr">
        <is>
          <t>P&amp;L (%)</t>
        </is>
      </c>
      <c r="M4" s="61" t="inlineStr">
        <is>
          <t>52W
High</t>
        </is>
      </c>
      <c r="N4" s="61" t="inlineStr">
        <is>
          <t>52W
Low</t>
        </is>
      </c>
      <c r="O4" s="61" t="inlineStr">
        <is>
          <t>% from
52W High</t>
        </is>
      </c>
      <c r="P4" s="61" t="inlineStr">
        <is>
          <t>Analyst
Target</t>
        </is>
      </c>
      <c r="Q4" s="61" t="inlineStr">
        <is>
          <t>Upside to
Target</t>
        </is>
      </c>
      <c r="R4" s="61" t="inlineStr">
        <is>
          <t>Investment Thesis / Notes</t>
        </is>
      </c>
    </row>
    <row r="5">
      <c r="A5" s="27" t="inlineStr">
        <is>
          <t>GEV</t>
        </is>
      </c>
      <c r="B5" s="10" t="inlineStr">
        <is>
          <t>GE Vernova</t>
        </is>
      </c>
      <c r="C5" s="10" t="inlineStr">
        <is>
          <t>Power generation &amp; grid equipment</t>
        </is>
      </c>
      <c r="D5" s="9" t="inlineStr">
        <is>
          <t>Medium</t>
        </is>
      </c>
      <c r="E5" s="28" t="n">
        <v>1118.96</v>
      </c>
      <c r="F5" s="29" t="n">
        <v>0.0171068781586888</v>
      </c>
      <c r="G5" s="28" t="n">
        <v>0</v>
      </c>
      <c r="H5" s="30" t="n">
        <v>0</v>
      </c>
      <c r="I5" s="31">
        <f>G5*H5</f>
        <v/>
      </c>
      <c r="J5" s="31">
        <f>E5*H5</f>
        <v/>
      </c>
      <c r="K5" s="31">
        <f>J5-I5</f>
        <v/>
      </c>
      <c r="L5" s="32">
        <f>IFERROR(K5/I5,"")</f>
        <v/>
      </c>
      <c r="M5" s="28" t="n">
        <v>0</v>
      </c>
      <c r="N5" s="28" t="n">
        <v>0</v>
      </c>
      <c r="O5" s="32">
        <f>IFERROR(E5/M5-1,"")</f>
        <v/>
      </c>
      <c r="P5" s="28" t="n">
        <v>0</v>
      </c>
      <c r="Q5" s="32">
        <f>IFERROR(P5/E5-1,"")</f>
        <v/>
      </c>
      <c r="R5" s="10" t="inlineStr">
        <is>
          <t>Stability and steady compounder. Power and grid maintenance for AI buildout.</t>
        </is>
      </c>
    </row>
    <row r="6">
      <c r="A6" s="33" t="inlineStr">
        <is>
          <t>PWR</t>
        </is>
      </c>
      <c r="B6" s="7" t="inlineStr">
        <is>
          <t>Quanta Services</t>
        </is>
      </c>
      <c r="C6" s="7" t="inlineStr">
        <is>
          <t>Power grid infrastructure &amp; maintenance</t>
        </is>
      </c>
      <c r="D6" s="6" t="inlineStr">
        <is>
          <t>Medium</t>
        </is>
      </c>
      <c r="E6" s="28" t="n">
        <v>785.24</v>
      </c>
      <c r="F6" s="29" t="n">
        <v>0.01881307604947841</v>
      </c>
      <c r="G6" s="28" t="n">
        <v>0</v>
      </c>
      <c r="H6" s="30" t="n">
        <v>0</v>
      </c>
      <c r="I6" s="34">
        <f>G6*H6</f>
        <v/>
      </c>
      <c r="J6" s="34">
        <f>E6*H6</f>
        <v/>
      </c>
      <c r="K6" s="34">
        <f>J6-I6</f>
        <v/>
      </c>
      <c r="L6" s="35">
        <f>IFERROR(K6/I6,"")</f>
        <v/>
      </c>
      <c r="M6" s="28" t="n">
        <v>0</v>
      </c>
      <c r="N6" s="28" t="n">
        <v>0</v>
      </c>
      <c r="O6" s="35">
        <f>IFERROR(E6/M6-1,"")</f>
        <v/>
      </c>
      <c r="P6" s="28" t="n">
        <v>0</v>
      </c>
      <c r="Q6" s="35">
        <f>IFERROR(P6/E6-1,"")</f>
        <v/>
      </c>
      <c r="R6" s="7" t="inlineStr">
        <is>
          <t>Power generation and grid maintenance. Growing bottleneck for AI buildout.</t>
        </is>
      </c>
    </row>
    <row r="7">
      <c r="A7" s="27" t="inlineStr">
        <is>
          <t>BE</t>
        </is>
      </c>
      <c r="B7" s="10" t="inlineStr">
        <is>
          <t>Bloom Energy</t>
        </is>
      </c>
      <c r="C7" s="10" t="inlineStr">
        <is>
          <t>Fuel cell power generation</t>
        </is>
      </c>
      <c r="D7" s="9" t="inlineStr">
        <is>
          <t>High</t>
        </is>
      </c>
      <c r="E7" s="28" t="n">
        <v>285.47</v>
      </c>
      <c r="F7" s="41" t="n">
        <v>-0.04067043441964675</v>
      </c>
      <c r="G7" s="28" t="n">
        <v>0</v>
      </c>
      <c r="H7" s="30" t="n">
        <v>0</v>
      </c>
      <c r="I7" s="31">
        <f>G7*H7</f>
        <v/>
      </c>
      <c r="J7" s="31">
        <f>E7*H7</f>
        <v/>
      </c>
      <c r="K7" s="31">
        <f>J7-I7</f>
        <v/>
      </c>
      <c r="L7" s="32">
        <f>IFERROR(K7/I7,"")</f>
        <v/>
      </c>
      <c r="M7" s="28" t="n">
        <v>0</v>
      </c>
      <c r="N7" s="28" t="n">
        <v>0</v>
      </c>
      <c r="O7" s="32">
        <f>IFERROR(E7/M7-1,"")</f>
        <v/>
      </c>
      <c r="P7" s="28" t="n">
        <v>0</v>
      </c>
      <c r="Q7" s="32">
        <f>IFERROR(P7/E7-1,"")</f>
        <v/>
      </c>
      <c r="R7" s="10" t="inlineStr">
        <is>
          <t>Moonshot potential if hydrogen &amp; fuel cell technology takes off.</t>
        </is>
      </c>
    </row>
    <row r="8">
      <c r="A8" s="33" t="inlineStr">
        <is>
          <t>OKLO</t>
        </is>
      </c>
      <c r="B8" s="7" t="inlineStr">
        <is>
          <t>Oklo Inc</t>
        </is>
      </c>
      <c r="C8" s="7" t="inlineStr">
        <is>
          <t>Nuclear SMRs + nuclear fuel waste</t>
        </is>
      </c>
      <c r="D8" s="6" t="inlineStr">
        <is>
          <t>Very High</t>
        </is>
      </c>
      <c r="E8" s="28" t="n">
        <v>79.62</v>
      </c>
      <c r="F8" s="29" t="n">
        <v>0.1715715530691883</v>
      </c>
      <c r="G8" s="28" t="n">
        <v>0</v>
      </c>
      <c r="H8" s="30" t="n">
        <v>0</v>
      </c>
      <c r="I8" s="34">
        <f>G8*H8</f>
        <v/>
      </c>
      <c r="J8" s="34">
        <f>E8*H8</f>
        <v/>
      </c>
      <c r="K8" s="34">
        <f>J8-I8</f>
        <v/>
      </c>
      <c r="L8" s="35">
        <f>IFERROR(K8/I8,"")</f>
        <v/>
      </c>
      <c r="M8" s="28" t="n">
        <v>0</v>
      </c>
      <c r="N8" s="28" t="n">
        <v>0</v>
      </c>
      <c r="O8" s="35">
        <f>IFERROR(E8/M8-1,"")</f>
        <v/>
      </c>
      <c r="P8" s="28" t="n">
        <v>0</v>
      </c>
      <c r="Q8" s="35">
        <f>IFERROR(P8/E8-1,"")</f>
        <v/>
      </c>
      <c r="R8" s="7" t="inlineStr">
        <is>
          <t>Massive moonshot potential. Big regulatory &amp; execution risk. Worth a small % of portfolio given massive potential.</t>
        </is>
      </c>
    </row>
    <row r="10" ht="20" customHeight="1">
      <c r="A10" s="62" t="inlineStr">
        <is>
          <t>PORTFOLIO TOTALS</t>
        </is>
      </c>
      <c r="H10" s="63">
        <f>SUM(H5:H8)</f>
        <v/>
      </c>
      <c r="I10" s="63">
        <f>SUM(I5:I8)</f>
        <v/>
      </c>
      <c r="J10" s="63">
        <f>SUM(J5:J8)</f>
        <v/>
      </c>
      <c r="K10" s="64">
        <f>IFERROR(J10/H10,"")</f>
        <v/>
      </c>
    </row>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6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10:11 PM</t>
        </is>
      </c>
    </row>
    <row r="4">
      <c r="A4" s="66" t="inlineStr">
        <is>
          <t>Ticker</t>
        </is>
      </c>
      <c r="B4" s="66" t="inlineStr">
        <is>
          <t>Company</t>
        </is>
      </c>
      <c r="C4" s="66" t="inlineStr">
        <is>
          <t>Focus / Niche</t>
        </is>
      </c>
      <c r="D4" s="66" t="inlineStr">
        <is>
          <t>Risk</t>
        </is>
      </c>
      <c r="E4" s="66" t="inlineStr">
        <is>
          <t>Current
Price</t>
        </is>
      </c>
      <c r="F4" s="66" t="inlineStr">
        <is>
          <t>Today's
+/- %</t>
        </is>
      </c>
      <c r="G4" s="66" t="inlineStr">
        <is>
          <t>Purchase
Price</t>
        </is>
      </c>
      <c r="H4" s="66" t="inlineStr">
        <is>
          <t>Shares
Owned</t>
        </is>
      </c>
      <c r="I4" s="66" t="inlineStr">
        <is>
          <t>Total
Cost</t>
        </is>
      </c>
      <c r="J4" s="66" t="inlineStr">
        <is>
          <t>Current
Value</t>
        </is>
      </c>
      <c r="K4" s="66" t="inlineStr">
        <is>
          <t>P&amp;L ($)</t>
        </is>
      </c>
      <c r="L4" s="66" t="inlineStr">
        <is>
          <t>P&amp;L (%)</t>
        </is>
      </c>
      <c r="M4" s="66" t="inlineStr">
        <is>
          <t>52W
High</t>
        </is>
      </c>
      <c r="N4" s="66" t="inlineStr">
        <is>
          <t>52W
Low</t>
        </is>
      </c>
      <c r="O4" s="66" t="inlineStr">
        <is>
          <t>% from
52W High</t>
        </is>
      </c>
      <c r="P4" s="66" t="inlineStr">
        <is>
          <t>Analyst
Target</t>
        </is>
      </c>
      <c r="Q4" s="66" t="inlineStr">
        <is>
          <t>Upside to
Target</t>
        </is>
      </c>
      <c r="R4" s="66" t="inlineStr">
        <is>
          <t>Investment Thesis / Notes</t>
        </is>
      </c>
    </row>
    <row r="5">
      <c r="A5" s="27" t="inlineStr">
        <is>
          <t>NBIS</t>
        </is>
      </c>
      <c r="B5" s="10" t="inlineStr">
        <is>
          <t>Nebius Group</t>
        </is>
      </c>
      <c r="C5" s="10" t="inlineStr">
        <is>
          <t>Neocloud + Clickhouse + AV Ride</t>
        </is>
      </c>
      <c r="D5" s="9" t="inlineStr">
        <is>
          <t>High</t>
        </is>
      </c>
      <c r="E5" s="28" t="n">
        <v>195.09</v>
      </c>
      <c r="F5" s="29" t="n">
        <v>0.1084973796863014</v>
      </c>
      <c r="G5" s="28" t="n">
        <v>0</v>
      </c>
      <c r="H5" s="30" t="n">
        <v>0</v>
      </c>
      <c r="I5" s="31">
        <f>G5*H5</f>
        <v/>
      </c>
      <c r="J5" s="31">
        <f>E5*H5</f>
        <v/>
      </c>
      <c r="K5" s="31">
        <f>J5-I5</f>
        <v/>
      </c>
      <c r="L5" s="32">
        <f>IFERROR(K5/I5,"")</f>
        <v/>
      </c>
      <c r="M5" s="28" t="n">
        <v>0</v>
      </c>
      <c r="N5" s="28" t="n">
        <v>0</v>
      </c>
      <c r="O5" s="32">
        <f>IFERROR(E5/M5-1,"")</f>
        <v/>
      </c>
      <c r="P5" s="28" t="n">
        <v>0</v>
      </c>
      <c r="Q5" s="32">
        <f>IFERROR(P5/E5-1,"")</f>
        <v/>
      </c>
      <c r="R5" s="10" t="inlineStr">
        <is>
          <t>Leading Neocloud with multiple revenue streams (Clickhouse, AV Ride). Modern Amazon/Google style company. Could become a future Hyperscaler.</t>
        </is>
      </c>
    </row>
    <row r="6">
      <c r="A6" s="33" t="inlineStr">
        <is>
          <t>PLTR</t>
        </is>
      </c>
      <c r="B6" s="7" t="inlineStr">
        <is>
          <t>Palantir Technologies</t>
        </is>
      </c>
      <c r="C6" s="7" t="inlineStr">
        <is>
          <t>AI software, government AI stack</t>
        </is>
      </c>
      <c r="D6" s="6" t="inlineStr">
        <is>
          <t>Med-High</t>
        </is>
      </c>
      <c r="E6" s="28" t="n">
        <v>133.79</v>
      </c>
      <c r="F6" s="41" t="n">
        <v>-0.01101424241474858</v>
      </c>
      <c r="G6" s="28" t="n">
        <v>0</v>
      </c>
      <c r="H6" s="30" t="n">
        <v>0</v>
      </c>
      <c r="I6" s="34">
        <f>G6*H6</f>
        <v/>
      </c>
      <c r="J6" s="34">
        <f>E6*H6</f>
        <v/>
      </c>
      <c r="K6" s="34">
        <f>J6-I6</f>
        <v/>
      </c>
      <c r="L6" s="35">
        <f>IFERROR(K6/I6,"")</f>
        <v/>
      </c>
      <c r="M6" s="28" t="n">
        <v>0</v>
      </c>
      <c r="N6" s="28" t="n">
        <v>0</v>
      </c>
      <c r="O6" s="35">
        <f>IFERROR(E6/M6-1,"")</f>
        <v/>
      </c>
      <c r="P6" s="28" t="n">
        <v>0</v>
      </c>
      <c r="Q6" s="35">
        <f>IFERROR(P6/E6-1,"")</f>
        <v/>
      </c>
      <c r="R6" s="7" t="inlineStr">
        <is>
          <t>Integral to the entire government AI stack. Not going anywhere. AI Software outlier outside the data center trade.</t>
        </is>
      </c>
    </row>
    <row r="8" ht="20" customHeight="1">
      <c r="A8" s="67" t="inlineStr">
        <is>
          <t>PORTFOLIO TOTALS</t>
        </is>
      </c>
      <c r="H8" s="68">
        <f>SUM(H5:H6)</f>
        <v/>
      </c>
      <c r="I8" s="68">
        <f>SUM(I5:I6)</f>
        <v/>
      </c>
      <c r="J8" s="68">
        <f>SUM(J5:J6)</f>
        <v/>
      </c>
      <c r="K8" s="69">
        <f>IFERROR(J8/H8,"")</f>
        <v/>
      </c>
    </row>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7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10:11 PM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Investment Thesis / Notes</t>
        </is>
      </c>
    </row>
    <row r="5">
      <c r="A5" s="27" t="inlineStr">
        <is>
          <t>ONDS</t>
        </is>
      </c>
      <c r="B5" s="10" t="inlineStr">
        <is>
          <t>Ondas Holdings</t>
        </is>
      </c>
      <c r="C5" s="10" t="inlineStr">
        <is>
          <t>Drones and defense tech</t>
        </is>
      </c>
      <c r="D5" s="9" t="inlineStr">
        <is>
          <t>Very High</t>
        </is>
      </c>
      <c r="E5" s="28" t="n">
        <v>9.34</v>
      </c>
      <c r="F5" s="29" t="n">
        <v>0.006595696920710679</v>
      </c>
      <c r="G5" s="28" t="n">
        <v>0</v>
      </c>
      <c r="H5" s="30" t="n">
        <v>0</v>
      </c>
      <c r="I5" s="31">
        <f>G5*H5</f>
        <v/>
      </c>
      <c r="J5" s="31">
        <f>E5*H5</f>
        <v/>
      </c>
      <c r="K5" s="31">
        <f>J5-I5</f>
        <v/>
      </c>
      <c r="L5" s="32">
        <f>IFERROR(K5/I5,"")</f>
        <v/>
      </c>
      <c r="M5" s="28" t="n">
        <v>0</v>
      </c>
      <c r="N5" s="28" t="n">
        <v>0</v>
      </c>
      <c r="O5" s="32">
        <f>IFERROR(E5/M5-1,"")</f>
        <v/>
      </c>
      <c r="P5" s="28" t="n">
        <v>0</v>
      </c>
      <c r="Q5" s="32">
        <f>IFERROR(P5/E5-1,"")</f>
        <v/>
      </c>
      <c r="R5" s="10" t="inlineStr">
        <is>
          <t>$1.5T defense budget, $56B to drones/counter-drones via DAWG Program. Best chance to scale after March 2026 acquisitions &amp; partnerships. Very speculative.</t>
        </is>
      </c>
    </row>
    <row r="7" ht="20" customHeight="1">
      <c r="A7" s="72" t="inlineStr">
        <is>
          <t>PORTFOLIO TOTALS</t>
        </is>
      </c>
      <c r="H7" s="73">
        <f>SUM(H5:H5)</f>
        <v/>
      </c>
      <c r="I7" s="73">
        <f>SUM(I5:I5)</f>
        <v/>
      </c>
      <c r="J7" s="73">
        <f>SUM(J5:J5)</f>
        <v/>
      </c>
      <c r="K7" s="74">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75"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10:11 PM</t>
        </is>
      </c>
    </row>
    <row r="4">
      <c r="A4" s="76" t="inlineStr">
        <is>
          <t>Ticker</t>
        </is>
      </c>
      <c r="B4" s="76" t="inlineStr">
        <is>
          <t>Company</t>
        </is>
      </c>
      <c r="C4" s="76" t="inlineStr">
        <is>
          <t>Focus / Niche</t>
        </is>
      </c>
      <c r="D4" s="76" t="inlineStr">
        <is>
          <t>Risk</t>
        </is>
      </c>
      <c r="E4" s="76" t="inlineStr">
        <is>
          <t>Current
Price</t>
        </is>
      </c>
      <c r="F4" s="76" t="inlineStr">
        <is>
          <t>Today's
+/- %</t>
        </is>
      </c>
      <c r="G4" s="76" t="inlineStr">
        <is>
          <t>Purchase
Price</t>
        </is>
      </c>
      <c r="H4" s="76" t="inlineStr">
        <is>
          <t>Shares
Owned</t>
        </is>
      </c>
      <c r="I4" s="76" t="inlineStr">
        <is>
          <t>Total
Cost</t>
        </is>
      </c>
      <c r="J4" s="76" t="inlineStr">
        <is>
          <t>Current
Value</t>
        </is>
      </c>
      <c r="K4" s="76" t="inlineStr">
        <is>
          <t>P&amp;L ($)</t>
        </is>
      </c>
      <c r="L4" s="76" t="inlineStr">
        <is>
          <t>P&amp;L (%)</t>
        </is>
      </c>
      <c r="M4" s="76" t="inlineStr">
        <is>
          <t>52W
High</t>
        </is>
      </c>
      <c r="N4" s="76" t="inlineStr">
        <is>
          <t>52W
Low</t>
        </is>
      </c>
      <c r="O4" s="76" t="inlineStr">
        <is>
          <t>% from
52W High</t>
        </is>
      </c>
      <c r="P4" s="76" t="inlineStr">
        <is>
          <t>Analyst
Target</t>
        </is>
      </c>
      <c r="Q4" s="76" t="inlineStr">
        <is>
          <t>Upside to
Target</t>
        </is>
      </c>
      <c r="R4" s="76" t="inlineStr">
        <is>
          <t>Investment Thesis / Notes</t>
        </is>
      </c>
    </row>
    <row r="5">
      <c r="A5" s="27" t="inlineStr">
        <is>
          <t>RKLB</t>
        </is>
      </c>
      <c r="B5" s="10" t="inlineStr">
        <is>
          <t>Rocket Lab USA</t>
        </is>
      </c>
      <c r="C5" s="10" t="inlineStr">
        <is>
          <t>Space economy &amp; launch infrastructure</t>
        </is>
      </c>
      <c r="D5" s="9" t="inlineStr">
        <is>
          <t>High</t>
        </is>
      </c>
      <c r="E5" s="28" t="n">
        <v>84.65000000000001</v>
      </c>
      <c r="F5" s="29" t="n">
        <v>0.0787562320106908</v>
      </c>
      <c r="G5" s="28" t="n">
        <v>0</v>
      </c>
      <c r="H5" s="30" t="n">
        <v>0</v>
      </c>
      <c r="I5" s="31">
        <f>G5*H5</f>
        <v/>
      </c>
      <c r="J5" s="31">
        <f>E5*H5</f>
        <v/>
      </c>
      <c r="K5" s="31">
        <f>J5-I5</f>
        <v/>
      </c>
      <c r="L5" s="32">
        <f>IFERROR(K5/I5,"")</f>
        <v/>
      </c>
      <c r="M5" s="28" t="n">
        <v>0</v>
      </c>
      <c r="N5" s="28" t="n">
        <v>0</v>
      </c>
      <c r="O5" s="32">
        <f>IFERROR(E5/M5-1,"")</f>
        <v/>
      </c>
      <c r="P5" s="28" t="n">
        <v>0</v>
      </c>
      <c r="Q5" s="32">
        <f>IFERROR(P5/E5-1,"")</f>
        <v/>
      </c>
      <c r="R5" s="10" t="inlineStr">
        <is>
          <t>Huge future TAM over next decade+. Speculative but massive upside. Brilliant CEO. Near-term catalyst: SpaceX IPO in June.</t>
        </is>
      </c>
    </row>
    <row r="7" ht="20" customHeight="1">
      <c r="A7" s="77" t="inlineStr">
        <is>
          <t>PORTFOLIO TOTALS</t>
        </is>
      </c>
      <c r="H7" s="78">
        <f>SUM(H5:H5)</f>
        <v/>
      </c>
      <c r="I7" s="78">
        <f>SUM(I5:I5)</f>
        <v/>
      </c>
      <c r="J7" s="78">
        <f>SUM(J5:J5)</f>
        <v/>
      </c>
      <c r="K7" s="79">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80"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10:11 PM</t>
        </is>
      </c>
    </row>
    <row r="4">
      <c r="A4" s="81" t="inlineStr">
        <is>
          <t>Ticker</t>
        </is>
      </c>
      <c r="B4" s="81" t="inlineStr">
        <is>
          <t>Company</t>
        </is>
      </c>
      <c r="C4" s="81" t="inlineStr">
        <is>
          <t>Focus / Niche</t>
        </is>
      </c>
      <c r="D4" s="81" t="inlineStr">
        <is>
          <t>Risk</t>
        </is>
      </c>
      <c r="E4" s="81" t="inlineStr">
        <is>
          <t>Current
Price</t>
        </is>
      </c>
      <c r="F4" s="81" t="inlineStr">
        <is>
          <t>Today's
+/- %</t>
        </is>
      </c>
      <c r="G4" s="81" t="inlineStr">
        <is>
          <t>Purchase
Price</t>
        </is>
      </c>
      <c r="H4" s="81" t="inlineStr">
        <is>
          <t>Shares
Owned</t>
        </is>
      </c>
      <c r="I4" s="81" t="inlineStr">
        <is>
          <t>Total
Cost</t>
        </is>
      </c>
      <c r="J4" s="81" t="inlineStr">
        <is>
          <t>Current
Value</t>
        </is>
      </c>
      <c r="K4" s="81" t="inlineStr">
        <is>
          <t>P&amp;L ($)</t>
        </is>
      </c>
      <c r="L4" s="81" t="inlineStr">
        <is>
          <t>P&amp;L (%)</t>
        </is>
      </c>
      <c r="M4" s="81" t="inlineStr">
        <is>
          <t>52W
High</t>
        </is>
      </c>
      <c r="N4" s="81" t="inlineStr">
        <is>
          <t>52W
Low</t>
        </is>
      </c>
      <c r="O4" s="81" t="inlineStr">
        <is>
          <t>% from
52W High</t>
        </is>
      </c>
      <c r="P4" s="81" t="inlineStr">
        <is>
          <t>Analyst
Target</t>
        </is>
      </c>
      <c r="Q4" s="81" t="inlineStr">
        <is>
          <t>Upside to
Target</t>
        </is>
      </c>
      <c r="R4" s="81" t="inlineStr">
        <is>
          <t>Investment Thesis / Notes</t>
        </is>
      </c>
    </row>
    <row r="5">
      <c r="A5" s="27" t="inlineStr">
        <is>
          <t>RBRK</t>
        </is>
      </c>
      <c r="B5" s="10" t="inlineStr">
        <is>
          <t>Rubrik Inc</t>
        </is>
      </c>
      <c r="C5" s="10" t="inlineStr">
        <is>
          <t>Cybersecurity, data management</t>
        </is>
      </c>
      <c r="D5" s="9" t="inlineStr">
        <is>
          <t>Med-High</t>
        </is>
      </c>
      <c r="E5" s="28" t="n">
        <v>57.78</v>
      </c>
      <c r="F5" s="29" t="n">
        <v>0.004665116477114699</v>
      </c>
      <c r="G5" s="28" t="n">
        <v>0</v>
      </c>
      <c r="H5" s="30" t="n">
        <v>0</v>
      </c>
      <c r="I5" s="31">
        <f>G5*H5</f>
        <v/>
      </c>
      <c r="J5" s="31">
        <f>E5*H5</f>
        <v/>
      </c>
      <c r="K5" s="31">
        <f>J5-I5</f>
        <v/>
      </c>
      <c r="L5" s="32">
        <f>IFERROR(K5/I5,"")</f>
        <v/>
      </c>
      <c r="M5" s="28" t="n">
        <v>0</v>
      </c>
      <c r="N5" s="28" t="n">
        <v>0</v>
      </c>
      <c r="O5" s="32">
        <f>IFERROR(E5/M5-1,"")</f>
        <v/>
      </c>
      <c r="P5" s="28" t="n">
        <v>0</v>
      </c>
      <c r="Q5" s="32">
        <f>IFERROR(P5/E5-1,"")</f>
        <v/>
      </c>
      <c r="R5" s="10" t="inlineStr">
        <is>
          <t>Long term investment research candidate.</t>
        </is>
      </c>
    </row>
    <row r="6">
      <c r="A6" s="33" t="inlineStr">
        <is>
          <t>NVO</t>
        </is>
      </c>
      <c r="B6" s="7" t="inlineStr">
        <is>
          <t>Novo Nordisk</t>
        </is>
      </c>
      <c r="C6" s="7" t="inlineStr">
        <is>
          <t>GLP-1 drugs, diabetes &amp; obesity</t>
        </is>
      </c>
      <c r="D6" s="6" t="inlineStr">
        <is>
          <t>Medium</t>
        </is>
      </c>
      <c r="E6" s="28" t="n">
        <v>45.76</v>
      </c>
      <c r="F6" s="29" t="n">
        <v>0.01238934339675222</v>
      </c>
      <c r="G6" s="28" t="n">
        <v>0</v>
      </c>
      <c r="H6" s="30" t="n">
        <v>0</v>
      </c>
      <c r="I6" s="34">
        <f>G6*H6</f>
        <v/>
      </c>
      <c r="J6" s="34">
        <f>E6*H6</f>
        <v/>
      </c>
      <c r="K6" s="34">
        <f>J6-I6</f>
        <v/>
      </c>
      <c r="L6" s="35">
        <f>IFERROR(K6/I6,"")</f>
        <v/>
      </c>
      <c r="M6" s="28" t="n">
        <v>0</v>
      </c>
      <c r="N6" s="28" t="n">
        <v>0</v>
      </c>
      <c r="O6" s="35">
        <f>IFERROR(E6/M6-1,"")</f>
        <v/>
      </c>
      <c r="P6" s="28" t="n">
        <v>0</v>
      </c>
      <c r="Q6" s="35">
        <f>IFERROR(P6/E6-1,"")</f>
        <v/>
      </c>
      <c r="R6" s="7" t="inlineStr">
        <is>
          <t>Long term investment research candidate.</t>
        </is>
      </c>
    </row>
    <row r="8" ht="20" customHeight="1">
      <c r="A8" s="82" t="inlineStr">
        <is>
          <t>PORTFOLIO TOTALS</t>
        </is>
      </c>
      <c r="H8" s="83">
        <f>SUM(H5:H6)</f>
        <v/>
      </c>
      <c r="I8" s="83">
        <f>SUM(I5:I6)</f>
        <v/>
      </c>
      <c r="J8" s="83">
        <f>SUM(J5:J6)</f>
        <v/>
      </c>
      <c r="K8" s="84">
        <f>IFERROR(J8/H8,"")</f>
        <v/>
      </c>
    </row>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85" t="inlineStr">
        <is>
          <t>📝 RESEARCH NOTES &amp; INVESTMENT THESIS</t>
        </is>
      </c>
    </row>
    <row r="2" ht="35" customHeight="1">
      <c r="A2" s="86" t="inlineStr">
        <is>
          <t>401k To-Do</t>
        </is>
      </c>
      <c r="B2" s="23" t="inlineStr">
        <is>
          <t>• Transfer 401k from Accrue (Now Vestwell) → Charles Schwab
• Transfer 401k from Vanguard (1-800-523-1188) → Charles Schwab</t>
        </is>
      </c>
    </row>
    <row r="3" ht="20" customHeight="1">
      <c r="A3" s="87" t="inlineStr">
        <is>
          <t>Savings Account</t>
        </is>
      </c>
      <c r="B3" s="23" t="inlineStr">
        <is>
          <t>• Open Savings Account with Capital One (for holding taxes)</t>
        </is>
      </c>
    </row>
    <row r="4" ht="20" customHeight="1">
      <c r="A4" s="86" t="inlineStr">
        <is>
          <t>Research Tools</t>
        </is>
      </c>
      <c r="B4" s="23" t="inlineStr">
        <is>
          <t>• Learn how to use 'Unusual Whales' website — watch YouTube tutorials</t>
        </is>
      </c>
    </row>
    <row r="5" ht="20" customHeight="1">
      <c r="A5" s="87" t="inlineStr">
        <is>
          <t>Quantum Thesis</t>
        </is>
      </c>
      <c r="B5" s="23" t="inlineStr">
        <is>
          <t>Next run will be of quantum. Buy IONQ, RGTI, and QBTS. Easy 10× within 2 years.</t>
        </is>
      </c>
    </row>
    <row r="6" ht="20" customHeight="1">
      <c r="A6" s="86"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87"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86"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87"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86"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87"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86" t="inlineStr">
        <is>
          <t>AEVA</t>
        </is>
      </c>
      <c r="B12" s="23" t="inlineStr">
        <is>
          <t>Aeva Technologies — Lidar + sensing tech. Autonomous systems + robotics long tail. Still early commercialization phase. Pure asymmetric bet: low probability, high upside.</t>
        </is>
      </c>
    </row>
    <row r="13" ht="20" customHeight="1">
      <c r="A13" s="87"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86" t="inlineStr">
        <is>
          <t>LITE</t>
        </is>
      </c>
      <c r="B14" s="23" t="inlineStr">
        <is>
          <t>Lumentum — King of Photonics. Could moonshot. Critical infrastructure for AI data movement.</t>
        </is>
      </c>
    </row>
    <row r="15" ht="20" customHeight="1">
      <c r="A15" s="87" t="inlineStr">
        <is>
          <t>OKLO</t>
        </is>
      </c>
      <c r="B15" s="23" t="inlineStr">
        <is>
          <t>Nuclear SMRs and Nuclear Fuel Waste. Huge moonshot potential but big regulatory and execution risk. Worth a small percentage of portfolio because of its massive potential.</t>
        </is>
      </c>
    </row>
    <row r="16" ht="20" customHeight="1">
      <c r="A16" s="86"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87" t="inlineStr">
        <is>
          <t>PLTR</t>
        </is>
      </c>
      <c r="B17" s="23" t="inlineStr">
        <is>
          <t>Palantir — AI Software. So integral to the entire government AI stack and is not going anywhere soon. Outlier outside of the data center trade.</t>
        </is>
      </c>
    </row>
    <row r="18" ht="20" customHeight="1">
      <c r="A18" s="86"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87"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86"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2026-05-06T22:11:20Z</dcterms:created>
  <dcterms:modified xsi:type="dcterms:W3CDTF">2026-05-06T22:11:21Z</dcterms:modified>
</cp:coreProperties>
</file>