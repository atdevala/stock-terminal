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2" fillId="7" borderId="0" applyAlignment="1" pivotButton="0" quotePrefix="0" xfId="0">
      <alignment horizontal="center" vertical="center"/>
    </xf>
    <xf numFmtId="0" fontId="22" fillId="7" borderId="0" applyAlignment="1" pivotButton="0" quotePrefix="0" xfId="0">
      <alignment horizontal="left" vertical="center"/>
    </xf>
    <xf numFmtId="0" fontId="0" fillId="5" borderId="0" pivotButton="0" quotePrefix="0" xfId="0"/>
    <xf numFmtId="0" fontId="23" fillId="5" borderId="0" applyAlignment="1" pivotButton="0" quotePrefix="0" xfId="0">
      <alignment horizontal="left" vertical="top" wrapText="1"/>
    </xf>
    <xf numFmtId="0" fontId="0" fillId="6" borderId="0" pivotButton="0" quotePrefix="0" xfId="0"/>
    <xf numFmtId="0" fontId="23"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4"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11:05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11:05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row>
    <row r="9" ht="20" customHeight="1">
      <c r="A9" s="36" t="inlineStr">
        <is>
          <t>PORTFOLIO TOTALS</t>
        </is>
      </c>
      <c r="H9" s="37">
        <f>SUM(H5:H7)</f>
        <v/>
      </c>
      <c r="I9" s="37">
        <f>SUM(I5:I7)</f>
        <v/>
      </c>
      <c r="J9" s="37">
        <f>SUM(J5:J7)</f>
        <v/>
      </c>
      <c r="K9" s="38">
        <f>IFERROR(J9/H9,"")</f>
        <v/>
      </c>
    </row>
    <row r="11" ht="22" customHeight="1">
      <c r="A11" s="39" t="inlineStr">
        <is>
          <t>INVESTMENT THESIS &amp; RESEARCH NOTES</t>
        </is>
      </c>
      <c r="B11" s="40" t="n"/>
      <c r="C11" s="40" t="n"/>
      <c r="D11" s="40" t="n"/>
      <c r="E11" s="40" t="n"/>
      <c r="F11" s="40" t="n"/>
      <c r="G11" s="40" t="n"/>
      <c r="H11" s="40" t="n"/>
      <c r="I11" s="40" t="n"/>
      <c r="J11" s="40" t="n"/>
      <c r="K11" s="40" t="n"/>
      <c r="L11" s="40" t="n"/>
      <c r="M11" s="40" t="n"/>
      <c r="N11" s="40" t="n"/>
      <c r="O11" s="40" t="n"/>
      <c r="P11" s="40" t="n"/>
      <c r="Q11" s="40" t="n"/>
    </row>
    <row r="12" ht="20" customHeight="1">
      <c r="A12" s="41" t="inlineStr">
        <is>
          <t>IONQ</t>
        </is>
      </c>
      <c r="B12" s="42" t="inlineStr">
        <is>
          <t xml:space="preserve">  IonQ Inc   |   Risk: Very High</t>
        </is>
      </c>
    </row>
    <row r="13" ht="177" customHeight="1">
      <c r="A13" s="43" t="n"/>
      <c r="B13" s="44"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1" t="inlineStr">
        <is>
          <t>RGTI</t>
        </is>
      </c>
      <c r="B15" s="42" t="inlineStr">
        <is>
          <t xml:space="preserve">  Rigetti Computing   |   Risk: Very High</t>
        </is>
      </c>
    </row>
    <row r="16" ht="177" customHeight="1">
      <c r="A16" s="45" t="n"/>
      <c r="B16" s="46"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1" t="inlineStr">
        <is>
          <t>QBTS</t>
        </is>
      </c>
      <c r="B18" s="42" t="inlineStr">
        <is>
          <t xml:space="preserve">  D-Wave Quantum   |   Risk: Very High</t>
        </is>
      </c>
    </row>
    <row r="19" ht="177" customHeight="1">
      <c r="A19" s="43" t="n"/>
      <c r="B19" s="44"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Q3"/>
    <mergeCell ref="A2:Q2"/>
    <mergeCell ref="A1:Q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47"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11:05 PM</t>
        </is>
      </c>
    </row>
    <row r="4">
      <c r="A4" s="48" t="inlineStr">
        <is>
          <t>Ticker</t>
        </is>
      </c>
      <c r="B4" s="48" t="inlineStr">
        <is>
          <t>Company</t>
        </is>
      </c>
      <c r="C4" s="48" t="inlineStr">
        <is>
          <t>Focus / Niche</t>
        </is>
      </c>
      <c r="D4" s="48" t="inlineStr">
        <is>
          <t>Risk</t>
        </is>
      </c>
      <c r="E4" s="48" t="inlineStr">
        <is>
          <t>Current
Price</t>
        </is>
      </c>
      <c r="F4" s="48" t="inlineStr">
        <is>
          <t>Today's
+/- %</t>
        </is>
      </c>
      <c r="G4" s="48" t="inlineStr">
        <is>
          <t>Purchase
Price</t>
        </is>
      </c>
      <c r="H4" s="48" t="inlineStr">
        <is>
          <t>Shares
Owned</t>
        </is>
      </c>
      <c r="I4" s="48" t="inlineStr">
        <is>
          <t>Total
Cost</t>
        </is>
      </c>
      <c r="J4" s="48" t="inlineStr">
        <is>
          <t>Current
Value</t>
        </is>
      </c>
      <c r="K4" s="48" t="inlineStr">
        <is>
          <t>P&amp;L ($)</t>
        </is>
      </c>
      <c r="L4" s="48" t="inlineStr">
        <is>
          <t>P&amp;L (%)</t>
        </is>
      </c>
      <c r="M4" s="48" t="inlineStr">
        <is>
          <t>52W
High</t>
        </is>
      </c>
      <c r="N4" s="48" t="inlineStr">
        <is>
          <t>52W
Low</t>
        </is>
      </c>
      <c r="O4" s="48" t="inlineStr">
        <is>
          <t>% from
52W High</t>
        </is>
      </c>
      <c r="P4" s="48" t="inlineStr">
        <is>
          <t>Analyst
Target</t>
        </is>
      </c>
      <c r="Q4" s="48" t="inlineStr">
        <is>
          <t>Upside to
Target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AVGO</t>
        </is>
      </c>
      <c r="B6" s="7" t="inlineStr">
        <is>
          <t>Broadcom Inc</t>
        </is>
      </c>
      <c r="C6" s="7" t="inlineStr">
        <is>
          <t>Semiconductors, networking</t>
        </is>
      </c>
      <c r="D6" s="6" t="inlineStr">
        <is>
          <t>Medium</t>
        </is>
      </c>
      <c r="E6" s="28" t="n">
        <v>425.44</v>
      </c>
      <c r="F6" s="49" t="n">
        <v>-1.518517953378183</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INTC</t>
        </is>
      </c>
      <c r="B9" s="10" t="inlineStr">
        <is>
          <t>Intel Corp</t>
        </is>
      </c>
      <c r="C9" s="10" t="inlineStr">
        <is>
          <t>CPUs, AI accelerators</t>
        </is>
      </c>
      <c r="D9" s="9" t="inlineStr">
        <is>
          <t>Med-High</t>
        </is>
      </c>
      <c r="E9" s="28" t="n">
        <v>113.01</v>
      </c>
      <c r="F9" s="49" t="n">
        <v>-0.2999540042077861</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2" ht="20" customHeight="1">
      <c r="A12" s="50" t="inlineStr">
        <is>
          <t>PORTFOLIO TOTALS</t>
        </is>
      </c>
      <c r="H12" s="51">
        <f>SUM(H5:H10)</f>
        <v/>
      </c>
      <c r="I12" s="51">
        <f>SUM(I5:I10)</f>
        <v/>
      </c>
      <c r="J12" s="51">
        <f>SUM(J5:J10)</f>
        <v/>
      </c>
      <c r="K12" s="52">
        <f>IFERROR(J12/H12,"")</f>
        <v/>
      </c>
    </row>
    <row r="14" ht="22" customHeight="1">
      <c r="A14" s="53" t="inlineStr">
        <is>
          <t>INVESTMENT THESIS &amp; RESEARCH NOTES</t>
        </is>
      </c>
      <c r="B14" s="54" t="n"/>
      <c r="C14" s="54" t="n"/>
      <c r="D14" s="54" t="n"/>
      <c r="E14" s="54" t="n"/>
      <c r="F14" s="54" t="n"/>
      <c r="G14" s="54" t="n"/>
      <c r="H14" s="54" t="n"/>
      <c r="I14" s="54" t="n"/>
      <c r="J14" s="54" t="n"/>
      <c r="K14" s="54" t="n"/>
      <c r="L14" s="54" t="n"/>
      <c r="M14" s="54" t="n"/>
      <c r="N14" s="54" t="n"/>
      <c r="O14" s="54" t="n"/>
      <c r="P14" s="54" t="n"/>
      <c r="Q14" s="54" t="n"/>
    </row>
    <row r="15" ht="20" customHeight="1">
      <c r="A15" s="41" t="inlineStr">
        <is>
          <t>NVDA</t>
        </is>
      </c>
      <c r="B15" s="42" t="inlineStr">
        <is>
          <t xml:space="preserve">  NVIDIA Corp   |   Risk: Medium</t>
        </is>
      </c>
    </row>
    <row r="16" ht="177" customHeight="1">
      <c r="A16" s="43" t="n"/>
      <c r="B16" s="44"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1" t="inlineStr">
        <is>
          <t>AVGO</t>
        </is>
      </c>
      <c r="B18" s="42" t="inlineStr">
        <is>
          <t xml:space="preserve">  Broadcom Inc   |   Risk: Medium</t>
        </is>
      </c>
    </row>
    <row r="19" ht="192" customHeight="1">
      <c r="A19" s="45" t="n"/>
      <c r="B19" s="46"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1" t="inlineStr">
        <is>
          <t>LRCX</t>
        </is>
      </c>
      <c r="B21" s="42" t="inlineStr">
        <is>
          <t xml:space="preserve">  Lam Research   |   Risk: Medium</t>
        </is>
      </c>
    </row>
    <row r="22" ht="192" customHeight="1">
      <c r="A22" s="43" t="n"/>
      <c r="B22" s="44"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1" t="inlineStr">
        <is>
          <t>AMD</t>
        </is>
      </c>
      <c r="B24" s="42" t="inlineStr">
        <is>
          <t xml:space="preserve">  Advanced Micro Devices   |   Risk: Medium</t>
        </is>
      </c>
    </row>
    <row r="25" ht="192" customHeight="1">
      <c r="A25" s="45" t="n"/>
      <c r="B25" s="46"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1" t="inlineStr">
        <is>
          <t>INTC</t>
        </is>
      </c>
      <c r="B27" s="42" t="inlineStr">
        <is>
          <t xml:space="preserve">  Intel Corp   |   Risk: Med-High</t>
        </is>
      </c>
    </row>
    <row r="28" ht="222" customHeight="1">
      <c r="A28" s="43" t="n"/>
      <c r="B28" s="44"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1" t="inlineStr">
        <is>
          <t>ARM</t>
        </is>
      </c>
      <c r="B30" s="42" t="inlineStr">
        <is>
          <t xml:space="preserve">  Arm Holdings   |   Risk: Medium</t>
        </is>
      </c>
    </row>
    <row r="31" ht="192" customHeight="1">
      <c r="A31" s="45" t="n"/>
      <c r="B31" s="46"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Q3"/>
    <mergeCell ref="A2:Q2"/>
    <mergeCell ref="A1:Q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5"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11:05 PM</t>
        </is>
      </c>
    </row>
    <row r="4">
      <c r="A4" s="56" t="inlineStr">
        <is>
          <t>Ticker</t>
        </is>
      </c>
      <c r="B4" s="56" t="inlineStr">
        <is>
          <t>Company</t>
        </is>
      </c>
      <c r="C4" s="56" t="inlineStr">
        <is>
          <t>Focus / Niche</t>
        </is>
      </c>
      <c r="D4" s="56" t="inlineStr">
        <is>
          <t>Risk</t>
        </is>
      </c>
      <c r="E4" s="56" t="inlineStr">
        <is>
          <t>Current
Price</t>
        </is>
      </c>
      <c r="F4" s="56" t="inlineStr">
        <is>
          <t>Today's
+/- %</t>
        </is>
      </c>
      <c r="G4" s="56" t="inlineStr">
        <is>
          <t>Purchase
Price</t>
        </is>
      </c>
      <c r="H4" s="56" t="inlineStr">
        <is>
          <t>Shares
Owned</t>
        </is>
      </c>
      <c r="I4" s="56" t="inlineStr">
        <is>
          <t>Total
Cost</t>
        </is>
      </c>
      <c r="J4" s="56" t="inlineStr">
        <is>
          <t>Current
Value</t>
        </is>
      </c>
      <c r="K4" s="56" t="inlineStr">
        <is>
          <t>P&amp;L ($)</t>
        </is>
      </c>
      <c r="L4" s="56" t="inlineStr">
        <is>
          <t>P&amp;L (%)</t>
        </is>
      </c>
      <c r="M4" s="56" t="inlineStr">
        <is>
          <t>52W
High</t>
        </is>
      </c>
      <c r="N4" s="56" t="inlineStr">
        <is>
          <t>52W
Low</t>
        </is>
      </c>
      <c r="O4" s="56" t="inlineStr">
        <is>
          <t>% from
52W High</t>
        </is>
      </c>
      <c r="P4" s="56" t="inlineStr">
        <is>
          <t>Analyst
Target</t>
        </is>
      </c>
      <c r="Q4" s="56" t="inlineStr">
        <is>
          <t>Upside to
Target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CRDO</t>
        </is>
      </c>
      <c r="B7" s="10" t="inlineStr">
        <is>
          <t>Credo Technology</t>
        </is>
      </c>
      <c r="C7" s="10" t="inlineStr">
        <is>
          <t>High-speed connectivity / SerDes for AI DCs</t>
        </is>
      </c>
      <c r="D7" s="9" t="inlineStr">
        <is>
          <t>High</t>
        </is>
      </c>
      <c r="E7" s="28" t="n">
        <v>198.29</v>
      </c>
      <c r="F7" s="49" t="n">
        <v>-0.1057968331824622</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HIMX</t>
        </is>
      </c>
      <c r="B9" s="10" t="inlineStr">
        <is>
          <t>Himax Technologies</t>
        </is>
      </c>
      <c r="C9" s="10" t="inlineStr">
        <is>
          <t>Display drivers + AR/AI vision chips</t>
        </is>
      </c>
      <c r="D9" s="9" t="inlineStr">
        <is>
          <t>High</t>
        </is>
      </c>
      <c r="E9" s="28" t="n">
        <v>12.33</v>
      </c>
      <c r="F9" s="49" t="n">
        <v>-0.2830576327856492</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row>
    <row r="13" ht="20" customHeight="1">
      <c r="A13" s="57" t="inlineStr">
        <is>
          <t>PORTFOLIO TOTALS</t>
        </is>
      </c>
      <c r="H13" s="58">
        <f>SUM(H5:H11)</f>
        <v/>
      </c>
      <c r="I13" s="58">
        <f>SUM(I5:I11)</f>
        <v/>
      </c>
      <c r="J13" s="58">
        <f>SUM(J5:J11)</f>
        <v/>
      </c>
      <c r="K13" s="59">
        <f>IFERROR(J13/H13,"")</f>
        <v/>
      </c>
    </row>
    <row r="15" ht="22" customHeight="1">
      <c r="A15" s="60" t="inlineStr">
        <is>
          <t>INVESTMENT THESIS &amp; RESEARCH NOTES</t>
        </is>
      </c>
      <c r="B15" s="61" t="n"/>
      <c r="C15" s="61" t="n"/>
      <c r="D15" s="61" t="n"/>
      <c r="E15" s="61" t="n"/>
      <c r="F15" s="61" t="n"/>
      <c r="G15" s="61" t="n"/>
      <c r="H15" s="61" t="n"/>
      <c r="I15" s="61" t="n"/>
      <c r="J15" s="61" t="n"/>
      <c r="K15" s="61" t="n"/>
      <c r="L15" s="61" t="n"/>
      <c r="M15" s="61" t="n"/>
      <c r="N15" s="61" t="n"/>
      <c r="O15" s="61" t="n"/>
      <c r="P15" s="61" t="n"/>
      <c r="Q15" s="61" t="n"/>
    </row>
    <row r="16" ht="20" customHeight="1">
      <c r="A16" s="41" t="inlineStr">
        <is>
          <t>NVTS</t>
        </is>
      </c>
      <c r="B16" s="42" t="inlineStr">
        <is>
          <t xml:space="preserve">  Navitas Semiconductor   |   Risk: High</t>
        </is>
      </c>
    </row>
    <row r="17" ht="222" customHeight="1">
      <c r="A17" s="43" t="n"/>
      <c r="B17" s="44"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1" t="inlineStr">
        <is>
          <t>AEHR</t>
        </is>
      </c>
      <c r="B19" s="42" t="inlineStr">
        <is>
          <t xml:space="preserve">  AEHR Test Systems   |   Risk: High</t>
        </is>
      </c>
    </row>
    <row r="20" ht="192" customHeight="1">
      <c r="A20" s="45" t="n"/>
      <c r="B20" s="46"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1" t="inlineStr">
        <is>
          <t>CRDO</t>
        </is>
      </c>
      <c r="B22" s="42" t="inlineStr">
        <is>
          <t xml:space="preserve">  Credo Technology   |   Risk: High</t>
        </is>
      </c>
    </row>
    <row r="23" ht="207" customHeight="1">
      <c r="A23" s="43" t="n"/>
      <c r="B23" s="44"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1" t="inlineStr">
        <is>
          <t>ALGM</t>
        </is>
      </c>
      <c r="B25" s="42" t="inlineStr">
        <is>
          <t xml:space="preserve">  Allegro MicroSystems   |   Risk: Med-High</t>
        </is>
      </c>
    </row>
    <row r="26" ht="207" customHeight="1">
      <c r="A26" s="45" t="n"/>
      <c r="B26" s="46"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1" t="inlineStr">
        <is>
          <t>HIMX</t>
        </is>
      </c>
      <c r="B28" s="42" t="inlineStr">
        <is>
          <t xml:space="preserve">  Himax Technologies   |   Risk: High</t>
        </is>
      </c>
    </row>
    <row r="29" ht="207" customHeight="1">
      <c r="A29" s="43" t="n"/>
      <c r="B29" s="44"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1" t="inlineStr">
        <is>
          <t>MTSI</t>
        </is>
      </c>
      <c r="B31" s="42" t="inlineStr">
        <is>
          <t xml:space="preserve">  MACOM Technology   |   Risk: Med-High</t>
        </is>
      </c>
    </row>
    <row r="32" ht="207" customHeight="1">
      <c r="A32" s="45" t="n"/>
      <c r="B32" s="46"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1" t="inlineStr">
        <is>
          <t>AEVA</t>
        </is>
      </c>
      <c r="B34" s="42" t="inlineStr">
        <is>
          <t xml:space="preserve">  Aeva Technologies   |   Risk: Very High</t>
        </is>
      </c>
    </row>
    <row r="35" ht="222" customHeight="1">
      <c r="A35" s="43" t="n"/>
      <c r="B35" s="44"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Q3"/>
    <mergeCell ref="A2:Q2"/>
    <mergeCell ref="A13:G13"/>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2"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11:05 PM</t>
        </is>
      </c>
    </row>
    <row r="4">
      <c r="A4" s="63" t="inlineStr">
        <is>
          <t>Ticker</t>
        </is>
      </c>
      <c r="B4" s="63" t="inlineStr">
        <is>
          <t>Company</t>
        </is>
      </c>
      <c r="C4" s="63" t="inlineStr">
        <is>
          <t>Focus / Niche</t>
        </is>
      </c>
      <c r="D4" s="63" t="inlineStr">
        <is>
          <t>Risk</t>
        </is>
      </c>
      <c r="E4" s="63" t="inlineStr">
        <is>
          <t>Current
Price</t>
        </is>
      </c>
      <c r="F4" s="63" t="inlineStr">
        <is>
          <t>Today's
+/- %</t>
        </is>
      </c>
      <c r="G4" s="63" t="inlineStr">
        <is>
          <t>Purchase
Price</t>
        </is>
      </c>
      <c r="H4" s="63" t="inlineStr">
        <is>
          <t>Shares
Owned</t>
        </is>
      </c>
      <c r="I4" s="63" t="inlineStr">
        <is>
          <t>Total
Cost</t>
        </is>
      </c>
      <c r="J4" s="63" t="inlineStr">
        <is>
          <t>Current
Value</t>
        </is>
      </c>
      <c r="K4" s="63" t="inlineStr">
        <is>
          <t>P&amp;L ($)</t>
        </is>
      </c>
      <c r="L4" s="63" t="inlineStr">
        <is>
          <t>P&amp;L (%)</t>
        </is>
      </c>
      <c r="M4" s="63" t="inlineStr">
        <is>
          <t>52W
High</t>
        </is>
      </c>
      <c r="N4" s="63" t="inlineStr">
        <is>
          <t>52W
Low</t>
        </is>
      </c>
      <c r="O4" s="63" t="inlineStr">
        <is>
          <t>% from
52W High</t>
        </is>
      </c>
      <c r="P4" s="63" t="inlineStr">
        <is>
          <t>Analyst
Target</t>
        </is>
      </c>
      <c r="Q4" s="63" t="inlineStr">
        <is>
          <t>Upside to
Target</t>
        </is>
      </c>
    </row>
    <row r="5">
      <c r="A5" s="27" t="inlineStr">
        <is>
          <t>LITE</t>
        </is>
      </c>
      <c r="B5" s="10" t="inlineStr">
        <is>
          <t>Lumentum Holdings</t>
        </is>
      </c>
      <c r="C5" s="10" t="inlineStr">
        <is>
          <t>Photonics, optical components for AI DCs</t>
        </is>
      </c>
      <c r="D5" s="9" t="inlineStr">
        <is>
          <t>High</t>
        </is>
      </c>
      <c r="E5" s="28" t="n">
        <v>944.28</v>
      </c>
      <c r="F5" s="49" t="n">
        <v>-1.642619728464659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64" t="inlineStr">
        <is>
          <t>PORTFOLIO TOTALS</t>
        </is>
      </c>
      <c r="H7" s="65">
        <f>SUM(H5:H5)</f>
        <v/>
      </c>
      <c r="I7" s="65">
        <f>SUM(I5:I5)</f>
        <v/>
      </c>
      <c r="J7" s="65">
        <f>SUM(J5:J5)</f>
        <v/>
      </c>
      <c r="K7" s="66">
        <f>IFERROR(J7/H7,"")</f>
        <v/>
      </c>
    </row>
    <row r="9" ht="22" customHeight="1">
      <c r="A9" s="67" t="inlineStr">
        <is>
          <t>INVESTMENT THESIS &amp; RESEARCH NOTES</t>
        </is>
      </c>
      <c r="B9" s="68" t="n"/>
      <c r="C9" s="68" t="n"/>
      <c r="D9" s="68" t="n"/>
      <c r="E9" s="68" t="n"/>
      <c r="F9" s="68" t="n"/>
      <c r="G9" s="68" t="n"/>
      <c r="H9" s="68" t="n"/>
      <c r="I9" s="68" t="n"/>
      <c r="J9" s="68" t="n"/>
      <c r="K9" s="68" t="n"/>
      <c r="L9" s="68" t="n"/>
      <c r="M9" s="68" t="n"/>
      <c r="N9" s="68" t="n"/>
      <c r="O9" s="68" t="n"/>
      <c r="P9" s="68" t="n"/>
      <c r="Q9" s="68" t="n"/>
    </row>
    <row r="10" ht="20" customHeight="1">
      <c r="A10" s="41" t="inlineStr">
        <is>
          <t>LITE</t>
        </is>
      </c>
      <c r="B10" s="42" t="inlineStr">
        <is>
          <t xml:space="preserve">  Lumentum Holdings   |   Risk: High</t>
        </is>
      </c>
    </row>
    <row r="11" ht="237" customHeight="1">
      <c r="A11" s="43" t="n"/>
      <c r="B11" s="44"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9"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11:05 PM</t>
        </is>
      </c>
    </row>
    <row r="4">
      <c r="A4" s="70" t="inlineStr">
        <is>
          <t>Ticker</t>
        </is>
      </c>
      <c r="B4" s="70" t="inlineStr">
        <is>
          <t>Company</t>
        </is>
      </c>
      <c r="C4" s="70" t="inlineStr">
        <is>
          <t>Focus / Niche</t>
        </is>
      </c>
      <c r="D4" s="70" t="inlineStr">
        <is>
          <t>Risk</t>
        </is>
      </c>
      <c r="E4" s="70" t="inlineStr">
        <is>
          <t>Current
Price</t>
        </is>
      </c>
      <c r="F4" s="70" t="inlineStr">
        <is>
          <t>Today's
+/- %</t>
        </is>
      </c>
      <c r="G4" s="70" t="inlineStr">
        <is>
          <t>Purchase
Price</t>
        </is>
      </c>
      <c r="H4" s="70" t="inlineStr">
        <is>
          <t>Shares
Owned</t>
        </is>
      </c>
      <c r="I4" s="70" t="inlineStr">
        <is>
          <t>Total
Cost</t>
        </is>
      </c>
      <c r="J4" s="70" t="inlineStr">
        <is>
          <t>Current
Value</t>
        </is>
      </c>
      <c r="K4" s="70" t="inlineStr">
        <is>
          <t>P&amp;L ($)</t>
        </is>
      </c>
      <c r="L4" s="70" t="inlineStr">
        <is>
          <t>P&amp;L (%)</t>
        </is>
      </c>
      <c r="M4" s="70" t="inlineStr">
        <is>
          <t>52W
High</t>
        </is>
      </c>
      <c r="N4" s="70" t="inlineStr">
        <is>
          <t>52W
Low</t>
        </is>
      </c>
      <c r="O4" s="70" t="inlineStr">
        <is>
          <t>% from
52W High</t>
        </is>
      </c>
      <c r="P4" s="70" t="inlineStr">
        <is>
          <t>Analyst
Target</t>
        </is>
      </c>
      <c r="Q4" s="70" t="inlineStr">
        <is>
          <t>Upside to
Target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1" t="inlineStr">
        <is>
          <t>PORTFOLIO TOTALS</t>
        </is>
      </c>
      <c r="H10" s="72">
        <f>SUM(H5:H8)</f>
        <v/>
      </c>
      <c r="I10" s="72">
        <f>SUM(I5:I8)</f>
        <v/>
      </c>
      <c r="J10" s="72">
        <f>SUM(J5:J8)</f>
        <v/>
      </c>
      <c r="K10" s="73">
        <f>IFERROR(J10/H10,"")</f>
        <v/>
      </c>
    </row>
    <row r="12" ht="22" customHeight="1">
      <c r="A12" s="74" t="inlineStr">
        <is>
          <t>INVESTMENT THESIS &amp; RESEARCH NOTES</t>
        </is>
      </c>
      <c r="B12" s="75" t="n"/>
      <c r="C12" s="75" t="n"/>
      <c r="D12" s="75" t="n"/>
      <c r="E12" s="75" t="n"/>
      <c r="F12" s="75" t="n"/>
      <c r="G12" s="75" t="n"/>
      <c r="H12" s="75" t="n"/>
      <c r="I12" s="75" t="n"/>
      <c r="J12" s="75" t="n"/>
      <c r="K12" s="75" t="n"/>
      <c r="L12" s="75" t="n"/>
      <c r="M12" s="75" t="n"/>
      <c r="N12" s="75" t="n"/>
      <c r="O12" s="75" t="n"/>
      <c r="P12" s="75" t="n"/>
      <c r="Q12" s="75" t="n"/>
    </row>
    <row r="13" ht="20" customHeight="1">
      <c r="A13" s="41" t="inlineStr">
        <is>
          <t>CAT</t>
        </is>
      </c>
      <c r="B13" s="42" t="inlineStr">
        <is>
          <t xml:space="preserve">  Caterpillar Inc   |   Risk: Low-Med</t>
        </is>
      </c>
    </row>
    <row r="14" ht="207" customHeight="1">
      <c r="A14" s="43" t="n"/>
      <c r="B14" s="44"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1" t="inlineStr">
        <is>
          <t>FIX</t>
        </is>
      </c>
      <c r="B16" s="42" t="inlineStr">
        <is>
          <t xml:space="preserve">  Comfort Systems USA   |   Risk: Medium</t>
        </is>
      </c>
    </row>
    <row r="17" ht="207" customHeight="1">
      <c r="A17" s="45" t="n"/>
      <c r="B17" s="46"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1" t="inlineStr">
        <is>
          <t>POWL</t>
        </is>
      </c>
      <c r="B19" s="42" t="inlineStr">
        <is>
          <t xml:space="preserve">  Powell Industries   |   Risk: Medium</t>
        </is>
      </c>
    </row>
    <row r="20" ht="207" customHeight="1">
      <c r="A20" s="43" t="n"/>
      <c r="B20" s="44"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1" t="inlineStr">
        <is>
          <t>VRT</t>
        </is>
      </c>
      <c r="B22" s="42" t="inlineStr">
        <is>
          <t xml:space="preserve">  Vertiv Holdings   |   Risk: Medium</t>
        </is>
      </c>
    </row>
    <row r="23" ht="207" customHeight="1">
      <c r="A23" s="45" t="n"/>
      <c r="B23" s="46"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6"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11:05 PM</t>
        </is>
      </c>
    </row>
    <row r="4">
      <c r="A4" s="77" t="inlineStr">
        <is>
          <t>Ticker</t>
        </is>
      </c>
      <c r="B4" s="77" t="inlineStr">
        <is>
          <t>Company</t>
        </is>
      </c>
      <c r="C4" s="77" t="inlineStr">
        <is>
          <t>Focus / Niche</t>
        </is>
      </c>
      <c r="D4" s="77" t="inlineStr">
        <is>
          <t>Risk</t>
        </is>
      </c>
      <c r="E4" s="77" t="inlineStr">
        <is>
          <t>Current
Price</t>
        </is>
      </c>
      <c r="F4" s="77" t="inlineStr">
        <is>
          <t>Today's
+/- %</t>
        </is>
      </c>
      <c r="G4" s="77" t="inlineStr">
        <is>
          <t>Purchase
Price</t>
        </is>
      </c>
      <c r="H4" s="77" t="inlineStr">
        <is>
          <t>Shares
Owned</t>
        </is>
      </c>
      <c r="I4" s="77" t="inlineStr">
        <is>
          <t>Total
Cost</t>
        </is>
      </c>
      <c r="J4" s="77" t="inlineStr">
        <is>
          <t>Current
Value</t>
        </is>
      </c>
      <c r="K4" s="77" t="inlineStr">
        <is>
          <t>P&amp;L ($)</t>
        </is>
      </c>
      <c r="L4" s="77" t="inlineStr">
        <is>
          <t>P&amp;L (%)</t>
        </is>
      </c>
      <c r="M4" s="77" t="inlineStr">
        <is>
          <t>52W
High</t>
        </is>
      </c>
      <c r="N4" s="77" t="inlineStr">
        <is>
          <t>52W
Low</t>
        </is>
      </c>
      <c r="O4" s="77" t="inlineStr">
        <is>
          <t>% from
52W High</t>
        </is>
      </c>
      <c r="P4" s="77" t="inlineStr">
        <is>
          <t>Analyst
Target</t>
        </is>
      </c>
      <c r="Q4" s="77" t="inlineStr">
        <is>
          <t>Upside to
Target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BE</t>
        </is>
      </c>
      <c r="B7" s="10" t="inlineStr">
        <is>
          <t>Bloom Energy</t>
        </is>
      </c>
      <c r="C7" s="10" t="inlineStr">
        <is>
          <t>Fuel cell power generation</t>
        </is>
      </c>
      <c r="D7" s="9" t="inlineStr">
        <is>
          <t>High</t>
        </is>
      </c>
      <c r="E7" s="28" t="n">
        <v>285.47</v>
      </c>
      <c r="F7" s="49" t="n">
        <v>-4.067043441964675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8" t="inlineStr">
        <is>
          <t>PORTFOLIO TOTALS</t>
        </is>
      </c>
      <c r="H10" s="79">
        <f>SUM(H5:H8)</f>
        <v/>
      </c>
      <c r="I10" s="79">
        <f>SUM(I5:I8)</f>
        <v/>
      </c>
      <c r="J10" s="79">
        <f>SUM(J5:J8)</f>
        <v/>
      </c>
      <c r="K10" s="80">
        <f>IFERROR(J10/H10,"")</f>
        <v/>
      </c>
    </row>
    <row r="12" ht="22" customHeight="1">
      <c r="A12" s="81" t="inlineStr">
        <is>
          <t>INVESTMENT THESIS &amp; RESEARCH NOTES</t>
        </is>
      </c>
      <c r="B12" s="82" t="n"/>
      <c r="C12" s="82" t="n"/>
      <c r="D12" s="82" t="n"/>
      <c r="E12" s="82" t="n"/>
      <c r="F12" s="82" t="n"/>
      <c r="G12" s="82" t="n"/>
      <c r="H12" s="82" t="n"/>
      <c r="I12" s="82" t="n"/>
      <c r="J12" s="82" t="n"/>
      <c r="K12" s="82" t="n"/>
      <c r="L12" s="82" t="n"/>
      <c r="M12" s="82" t="n"/>
      <c r="N12" s="82" t="n"/>
      <c r="O12" s="82" t="n"/>
      <c r="P12" s="82" t="n"/>
      <c r="Q12" s="82" t="n"/>
    </row>
    <row r="13" ht="20" customHeight="1">
      <c r="A13" s="41" t="inlineStr">
        <is>
          <t>GEV</t>
        </is>
      </c>
      <c r="B13" s="42" t="inlineStr">
        <is>
          <t xml:space="preserve">  GE Vernova   |   Risk: Medium</t>
        </is>
      </c>
    </row>
    <row r="14" ht="207" customHeight="1">
      <c r="A14" s="43" t="n"/>
      <c r="B14" s="44"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1" t="inlineStr">
        <is>
          <t>PWR</t>
        </is>
      </c>
      <c r="B16" s="42" t="inlineStr">
        <is>
          <t xml:space="preserve">  Quanta Services   |   Risk: Medium</t>
        </is>
      </c>
    </row>
    <row r="17" ht="237" customHeight="1">
      <c r="A17" s="45" t="n"/>
      <c r="B17" s="46"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1" t="inlineStr">
        <is>
          <t>BE</t>
        </is>
      </c>
      <c r="B19" s="42" t="inlineStr">
        <is>
          <t xml:space="preserve">  Bloom Energy   |   Risk: High</t>
        </is>
      </c>
    </row>
    <row r="20" ht="237" customHeight="1">
      <c r="A20" s="43" t="n"/>
      <c r="B20" s="44"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1" t="inlineStr">
        <is>
          <t>OKLO</t>
        </is>
      </c>
      <c r="B22" s="42" t="inlineStr">
        <is>
          <t xml:space="preserve">  Oklo Inc   |   Risk: Very High</t>
        </is>
      </c>
    </row>
    <row r="23" ht="252" customHeight="1">
      <c r="A23" s="45" t="n"/>
      <c r="B23" s="46"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3"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11:05 PM</t>
        </is>
      </c>
    </row>
    <row r="4">
      <c r="A4" s="84" t="inlineStr">
        <is>
          <t>Ticker</t>
        </is>
      </c>
      <c r="B4" s="84" t="inlineStr">
        <is>
          <t>Company</t>
        </is>
      </c>
      <c r="C4" s="84" t="inlineStr">
        <is>
          <t>Focus / Niche</t>
        </is>
      </c>
      <c r="D4" s="84" t="inlineStr">
        <is>
          <t>Risk</t>
        </is>
      </c>
      <c r="E4" s="84" t="inlineStr">
        <is>
          <t>Current
Price</t>
        </is>
      </c>
      <c r="F4" s="84" t="inlineStr">
        <is>
          <t>Today's
+/- %</t>
        </is>
      </c>
      <c r="G4" s="84" t="inlineStr">
        <is>
          <t>Purchase
Price</t>
        </is>
      </c>
      <c r="H4" s="84" t="inlineStr">
        <is>
          <t>Shares
Owned</t>
        </is>
      </c>
      <c r="I4" s="84" t="inlineStr">
        <is>
          <t>Total
Cost</t>
        </is>
      </c>
      <c r="J4" s="84" t="inlineStr">
        <is>
          <t>Current
Value</t>
        </is>
      </c>
      <c r="K4" s="84" t="inlineStr">
        <is>
          <t>P&amp;L ($)</t>
        </is>
      </c>
      <c r="L4" s="84" t="inlineStr">
        <is>
          <t>P&amp;L (%)</t>
        </is>
      </c>
      <c r="M4" s="84" t="inlineStr">
        <is>
          <t>52W
High</t>
        </is>
      </c>
      <c r="N4" s="84" t="inlineStr">
        <is>
          <t>52W
Low</t>
        </is>
      </c>
      <c r="O4" s="84" t="inlineStr">
        <is>
          <t>% from
52W High</t>
        </is>
      </c>
      <c r="P4" s="84" t="inlineStr">
        <is>
          <t>Analyst
Target</t>
        </is>
      </c>
      <c r="Q4" s="84" t="inlineStr">
        <is>
          <t>Upside to
Target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PLTR</t>
        </is>
      </c>
      <c r="B6" s="7" t="inlineStr">
        <is>
          <t>Palantir Technologies</t>
        </is>
      </c>
      <c r="C6" s="7" t="inlineStr">
        <is>
          <t>AI software, government AI stack</t>
        </is>
      </c>
      <c r="D6" s="6" t="inlineStr">
        <is>
          <t>Med-High</t>
        </is>
      </c>
      <c r="E6" s="28" t="n">
        <v>133.79</v>
      </c>
      <c r="F6" s="49" t="n">
        <v>-1.101424241474859</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85" t="inlineStr">
        <is>
          <t>PORTFOLIO TOTALS</t>
        </is>
      </c>
      <c r="H8" s="86">
        <f>SUM(H5:H6)</f>
        <v/>
      </c>
      <c r="I8" s="86">
        <f>SUM(I5:I6)</f>
        <v/>
      </c>
      <c r="J8" s="86">
        <f>SUM(J5:J6)</f>
        <v/>
      </c>
      <c r="K8" s="87">
        <f>IFERROR(J8/H8,"")</f>
        <v/>
      </c>
    </row>
    <row r="10" ht="22" customHeight="1">
      <c r="A10" s="88" t="inlineStr">
        <is>
          <t>INVESTMENT THESIS &amp; RESEARCH NOTES</t>
        </is>
      </c>
      <c r="B10" s="89" t="n"/>
      <c r="C10" s="89" t="n"/>
      <c r="D10" s="89" t="n"/>
      <c r="E10" s="89" t="n"/>
      <c r="F10" s="89" t="n"/>
      <c r="G10" s="89" t="n"/>
      <c r="H10" s="89" t="n"/>
      <c r="I10" s="89" t="n"/>
      <c r="J10" s="89" t="n"/>
      <c r="K10" s="89" t="n"/>
      <c r="L10" s="89" t="n"/>
      <c r="M10" s="89" t="n"/>
      <c r="N10" s="89" t="n"/>
      <c r="O10" s="89" t="n"/>
      <c r="P10" s="89" t="n"/>
      <c r="Q10" s="89" t="n"/>
    </row>
    <row r="11" ht="20" customHeight="1">
      <c r="A11" s="41" t="inlineStr">
        <is>
          <t>NBIS</t>
        </is>
      </c>
      <c r="B11" s="42" t="inlineStr">
        <is>
          <t xml:space="preserve">  Nebius Group   |   Risk: High</t>
        </is>
      </c>
    </row>
    <row r="12" ht="282" customHeight="1">
      <c r="A12" s="43" t="n"/>
      <c r="B12" s="44"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1" t="inlineStr">
        <is>
          <t>PLTR</t>
        </is>
      </c>
      <c r="B14" s="42" t="inlineStr">
        <is>
          <t xml:space="preserve">  Palantir Technologies   |   Risk: Med-High</t>
        </is>
      </c>
    </row>
    <row r="15" ht="237" customHeight="1">
      <c r="A15" s="45" t="n"/>
      <c r="B15" s="46"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11:05 PM</t>
        </is>
      </c>
    </row>
    <row r="4">
      <c r="A4" s="91" t="inlineStr">
        <is>
          <t>Ticker</t>
        </is>
      </c>
      <c r="B4" s="91" t="inlineStr">
        <is>
          <t>Company</t>
        </is>
      </c>
      <c r="C4" s="91" t="inlineStr">
        <is>
          <t>Focus / Niche</t>
        </is>
      </c>
      <c r="D4" s="91" t="inlineStr">
        <is>
          <t>Risk</t>
        </is>
      </c>
      <c r="E4" s="91" t="inlineStr">
        <is>
          <t>Current
Price</t>
        </is>
      </c>
      <c r="F4" s="91" t="inlineStr">
        <is>
          <t>Today's
+/- %</t>
        </is>
      </c>
      <c r="G4" s="91" t="inlineStr">
        <is>
          <t>Purchase
Price</t>
        </is>
      </c>
      <c r="H4" s="91" t="inlineStr">
        <is>
          <t>Shares
Owned</t>
        </is>
      </c>
      <c r="I4" s="91" t="inlineStr">
        <is>
          <t>Total
Cost</t>
        </is>
      </c>
      <c r="J4" s="91" t="inlineStr">
        <is>
          <t>Current
Value</t>
        </is>
      </c>
      <c r="K4" s="91" t="inlineStr">
        <is>
          <t>P&amp;L ($)</t>
        </is>
      </c>
      <c r="L4" s="91" t="inlineStr">
        <is>
          <t>P&amp;L (%)</t>
        </is>
      </c>
      <c r="M4" s="91" t="inlineStr">
        <is>
          <t>52W
High</t>
        </is>
      </c>
      <c r="N4" s="91" t="inlineStr">
        <is>
          <t>52W
Low</t>
        </is>
      </c>
      <c r="O4" s="91" t="inlineStr">
        <is>
          <t>% from
52W High</t>
        </is>
      </c>
      <c r="P4" s="91" t="inlineStr">
        <is>
          <t>Analyst
Target</t>
        </is>
      </c>
      <c r="Q4" s="91" t="inlineStr">
        <is>
          <t>Upside to
Target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2" t="inlineStr">
        <is>
          <t>PORTFOLIO TOTALS</t>
        </is>
      </c>
      <c r="H7" s="93">
        <f>SUM(H5:H5)</f>
        <v/>
      </c>
      <c r="I7" s="93">
        <f>SUM(I5:I5)</f>
        <v/>
      </c>
      <c r="J7" s="93">
        <f>SUM(J5:J5)</f>
        <v/>
      </c>
      <c r="K7" s="94">
        <f>IFERROR(J7/H7,"")</f>
        <v/>
      </c>
    </row>
    <row r="9" ht="22" customHeight="1">
      <c r="A9" s="95" t="inlineStr">
        <is>
          <t>INVESTMENT THESIS &amp; RESEARCH NOTES</t>
        </is>
      </c>
      <c r="B9" s="96" t="n"/>
      <c r="C9" s="96" t="n"/>
      <c r="D9" s="96" t="n"/>
      <c r="E9" s="96" t="n"/>
      <c r="F9" s="96" t="n"/>
      <c r="G9" s="96" t="n"/>
      <c r="H9" s="96" t="n"/>
      <c r="I9" s="96" t="n"/>
      <c r="J9" s="96" t="n"/>
      <c r="K9" s="96" t="n"/>
      <c r="L9" s="96" t="n"/>
      <c r="M9" s="96" t="n"/>
      <c r="N9" s="96" t="n"/>
      <c r="O9" s="96" t="n"/>
      <c r="P9" s="96" t="n"/>
      <c r="Q9" s="96" t="n"/>
    </row>
    <row r="10" ht="20" customHeight="1">
      <c r="A10" s="41" t="inlineStr">
        <is>
          <t>ONDS</t>
        </is>
      </c>
      <c r="B10" s="42" t="inlineStr">
        <is>
          <t xml:space="preserve">  Ondas Holdings   |   Risk: Very High</t>
        </is>
      </c>
    </row>
    <row r="11" ht="282" customHeight="1">
      <c r="A11" s="43" t="n"/>
      <c r="B11" s="44"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7"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11:05 PM</t>
        </is>
      </c>
    </row>
    <row r="4">
      <c r="A4" s="98" t="inlineStr">
        <is>
          <t>Ticker</t>
        </is>
      </c>
      <c r="B4" s="98" t="inlineStr">
        <is>
          <t>Company</t>
        </is>
      </c>
      <c r="C4" s="98" t="inlineStr">
        <is>
          <t>Focus / Niche</t>
        </is>
      </c>
      <c r="D4" s="98" t="inlineStr">
        <is>
          <t>Risk</t>
        </is>
      </c>
      <c r="E4" s="98" t="inlineStr">
        <is>
          <t>Current
Price</t>
        </is>
      </c>
      <c r="F4" s="98" t="inlineStr">
        <is>
          <t>Today's
+/- %</t>
        </is>
      </c>
      <c r="G4" s="98" t="inlineStr">
        <is>
          <t>Purchase
Price</t>
        </is>
      </c>
      <c r="H4" s="98" t="inlineStr">
        <is>
          <t>Shares
Owned</t>
        </is>
      </c>
      <c r="I4" s="98" t="inlineStr">
        <is>
          <t>Total
Cost</t>
        </is>
      </c>
      <c r="J4" s="98" t="inlineStr">
        <is>
          <t>Current
Value</t>
        </is>
      </c>
      <c r="K4" s="98" t="inlineStr">
        <is>
          <t>P&amp;L ($)</t>
        </is>
      </c>
      <c r="L4" s="98" t="inlineStr">
        <is>
          <t>P&amp;L (%)</t>
        </is>
      </c>
      <c r="M4" s="98" t="inlineStr">
        <is>
          <t>52W
High</t>
        </is>
      </c>
      <c r="N4" s="98" t="inlineStr">
        <is>
          <t>52W
Low</t>
        </is>
      </c>
      <c r="O4" s="98" t="inlineStr">
        <is>
          <t>% from
52W High</t>
        </is>
      </c>
      <c r="P4" s="98" t="inlineStr">
        <is>
          <t>Analyst
Target</t>
        </is>
      </c>
      <c r="Q4" s="98" t="inlineStr">
        <is>
          <t>Upside to
Target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9" t="inlineStr">
        <is>
          <t>PORTFOLIO TOTALS</t>
        </is>
      </c>
      <c r="H7" s="100">
        <f>SUM(H5:H5)</f>
        <v/>
      </c>
      <c r="I7" s="100">
        <f>SUM(I5:I5)</f>
        <v/>
      </c>
      <c r="J7" s="100">
        <f>SUM(J5:J5)</f>
        <v/>
      </c>
      <c r="K7" s="101">
        <f>IFERROR(J7/H7,"")</f>
        <v/>
      </c>
    </row>
    <row r="9" ht="22" customHeight="1">
      <c r="A9" s="102" t="inlineStr">
        <is>
          <t>INVESTMENT THESIS &amp; RESEARCH NOTES</t>
        </is>
      </c>
      <c r="B9" s="103" t="n"/>
      <c r="C9" s="103" t="n"/>
      <c r="D9" s="103" t="n"/>
      <c r="E9" s="103" t="n"/>
      <c r="F9" s="103" t="n"/>
      <c r="G9" s="103" t="n"/>
      <c r="H9" s="103" t="n"/>
      <c r="I9" s="103" t="n"/>
      <c r="J9" s="103" t="n"/>
      <c r="K9" s="103" t="n"/>
      <c r="L9" s="103" t="n"/>
      <c r="M9" s="103" t="n"/>
      <c r="N9" s="103" t="n"/>
      <c r="O9" s="103" t="n"/>
      <c r="P9" s="103" t="n"/>
      <c r="Q9" s="103" t="n"/>
    </row>
    <row r="10" ht="20" customHeight="1">
      <c r="A10" s="41" t="inlineStr">
        <is>
          <t>RKLB</t>
        </is>
      </c>
      <c r="B10" s="42" t="inlineStr">
        <is>
          <t xml:space="preserve">  Rocket Lab USA   |   Risk: High</t>
        </is>
      </c>
    </row>
    <row r="11" ht="282" customHeight="1">
      <c r="A11" s="43" t="n"/>
      <c r="B11" s="44"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104"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11:05 PM</t>
        </is>
      </c>
    </row>
    <row r="4">
      <c r="A4" s="105" t="inlineStr">
        <is>
          <t>Ticker</t>
        </is>
      </c>
      <c r="B4" s="105" t="inlineStr">
        <is>
          <t>Company</t>
        </is>
      </c>
      <c r="C4" s="105" t="inlineStr">
        <is>
          <t>Focus / Niche</t>
        </is>
      </c>
      <c r="D4" s="105" t="inlineStr">
        <is>
          <t>Risk</t>
        </is>
      </c>
      <c r="E4" s="105" t="inlineStr">
        <is>
          <t>Current
Price</t>
        </is>
      </c>
      <c r="F4" s="105" t="inlineStr">
        <is>
          <t>Today's
+/- %</t>
        </is>
      </c>
      <c r="G4" s="105" t="inlineStr">
        <is>
          <t>Purchase
Price</t>
        </is>
      </c>
      <c r="H4" s="105" t="inlineStr">
        <is>
          <t>Shares
Owned</t>
        </is>
      </c>
      <c r="I4" s="105" t="inlineStr">
        <is>
          <t>Total
Cost</t>
        </is>
      </c>
      <c r="J4" s="105" t="inlineStr">
        <is>
          <t>Current
Value</t>
        </is>
      </c>
      <c r="K4" s="105" t="inlineStr">
        <is>
          <t>P&amp;L ($)</t>
        </is>
      </c>
      <c r="L4" s="105" t="inlineStr">
        <is>
          <t>P&amp;L (%)</t>
        </is>
      </c>
      <c r="M4" s="105" t="inlineStr">
        <is>
          <t>52W
High</t>
        </is>
      </c>
      <c r="N4" s="105" t="inlineStr">
        <is>
          <t>52W
Low</t>
        </is>
      </c>
      <c r="O4" s="105" t="inlineStr">
        <is>
          <t>% from
52W High</t>
        </is>
      </c>
      <c r="P4" s="105" t="inlineStr">
        <is>
          <t>Analyst
Target</t>
        </is>
      </c>
      <c r="Q4" s="105" t="inlineStr">
        <is>
          <t>Upside to
Target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106" t="inlineStr">
        <is>
          <t>PORTFOLIO TOTALS</t>
        </is>
      </c>
      <c r="H8" s="107">
        <f>SUM(H5:H6)</f>
        <v/>
      </c>
      <c r="I8" s="107">
        <f>SUM(I5:I6)</f>
        <v/>
      </c>
      <c r="J8" s="107">
        <f>SUM(J5:J6)</f>
        <v/>
      </c>
      <c r="K8" s="108">
        <f>IFERROR(J8/H8,"")</f>
        <v/>
      </c>
    </row>
    <row r="10" ht="22" customHeight="1">
      <c r="A10" s="109" t="inlineStr">
        <is>
          <t>INVESTMENT THESIS &amp; RESEARCH NOTES</t>
        </is>
      </c>
      <c r="B10" s="110" t="n"/>
      <c r="C10" s="110" t="n"/>
      <c r="D10" s="110" t="n"/>
      <c r="E10" s="110" t="n"/>
      <c r="F10" s="110" t="n"/>
      <c r="G10" s="110" t="n"/>
      <c r="H10" s="110" t="n"/>
      <c r="I10" s="110" t="n"/>
      <c r="J10" s="110" t="n"/>
      <c r="K10" s="110" t="n"/>
      <c r="L10" s="110" t="n"/>
      <c r="M10" s="110" t="n"/>
      <c r="N10" s="110" t="n"/>
      <c r="O10" s="110" t="n"/>
      <c r="P10" s="110" t="n"/>
      <c r="Q10" s="110" t="n"/>
    </row>
    <row r="11" ht="20" customHeight="1">
      <c r="A11" s="41" t="inlineStr">
        <is>
          <t>RBRK</t>
        </is>
      </c>
      <c r="B11" s="42" t="inlineStr">
        <is>
          <t xml:space="preserve">  Rubrik Inc   |   Risk: Med-High</t>
        </is>
      </c>
    </row>
    <row r="12" ht="222" customHeight="1">
      <c r="A12" s="43" t="n"/>
      <c r="B12" s="44"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1" t="inlineStr">
        <is>
          <t>NVO</t>
        </is>
      </c>
      <c r="B14" s="42" t="inlineStr">
        <is>
          <t xml:space="preserve">  Novo Nordisk   |   Risk: Medium</t>
        </is>
      </c>
    </row>
    <row r="15" ht="237" customHeight="1">
      <c r="A15" s="45" t="n"/>
      <c r="B15" s="46"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1" t="inlineStr">
        <is>
          <t>📝 RESEARCH NOTES &amp; INVESTMENT THESIS</t>
        </is>
      </c>
    </row>
    <row r="2" ht="35" customHeight="1">
      <c r="A2" s="112" t="inlineStr">
        <is>
          <t>401k To-Do</t>
        </is>
      </c>
      <c r="B2" s="23" t="inlineStr">
        <is>
          <t>• Transfer 401k from Accrue (Now Vestwell) → Charles Schwab
• Transfer 401k from Vanguard (1-800-523-1188) → Charles Schwab</t>
        </is>
      </c>
    </row>
    <row r="3" ht="20" customHeight="1">
      <c r="A3" s="113" t="inlineStr">
        <is>
          <t>Savings Account</t>
        </is>
      </c>
      <c r="B3" s="23" t="inlineStr">
        <is>
          <t>• Open Savings Account with Capital One (for holding taxes)</t>
        </is>
      </c>
    </row>
    <row r="4" ht="20" customHeight="1">
      <c r="A4" s="112" t="inlineStr">
        <is>
          <t>Research Tools</t>
        </is>
      </c>
      <c r="B4" s="23" t="inlineStr">
        <is>
          <t>• Learn how to use 'Unusual Whales' website — watch YouTube tutorials</t>
        </is>
      </c>
    </row>
    <row r="5" ht="20" customHeight="1">
      <c r="A5" s="113" t="inlineStr">
        <is>
          <t>Quantum Thesis</t>
        </is>
      </c>
      <c r="B5" s="23" t="inlineStr">
        <is>
          <t>Next run will be of quantum. Buy IONQ, RGTI, and QBTS. Easy 10× within 2 years.</t>
        </is>
      </c>
    </row>
    <row r="6" ht="20" customHeight="1">
      <c r="A6" s="112"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3"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2"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3"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2"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3"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2" t="inlineStr">
        <is>
          <t>AEVA</t>
        </is>
      </c>
      <c r="B12" s="23" t="inlineStr">
        <is>
          <t>Aeva Technologies — Lidar + sensing tech. Autonomous systems + robotics long tail. Still early commercialization phase. Pure asymmetric bet: low probability, high upside.</t>
        </is>
      </c>
    </row>
    <row r="13" ht="20" customHeight="1">
      <c r="A13" s="113"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2" t="inlineStr">
        <is>
          <t>LITE</t>
        </is>
      </c>
      <c r="B14" s="23" t="inlineStr">
        <is>
          <t>Lumentum — King of Photonics. Could moonshot. Critical infrastructure for AI data movement.</t>
        </is>
      </c>
    </row>
    <row r="15" ht="20" customHeight="1">
      <c r="A15" s="113" t="inlineStr">
        <is>
          <t>OKLO</t>
        </is>
      </c>
      <c r="B15" s="23" t="inlineStr">
        <is>
          <t>Nuclear SMRs and Nuclear Fuel Waste. Huge moonshot potential but big regulatory and execution risk. Worth a small percentage of portfolio because of its massive potential.</t>
        </is>
      </c>
    </row>
    <row r="16" ht="20" customHeight="1">
      <c r="A16" s="112"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3" t="inlineStr">
        <is>
          <t>PLTR</t>
        </is>
      </c>
      <c r="B17" s="23" t="inlineStr">
        <is>
          <t>Palantir — AI Software. So integral to the entire government AI stack and is not going anywhere soon. Outlier outside of the data center trade.</t>
        </is>
      </c>
    </row>
    <row r="18" ht="20" customHeight="1">
      <c r="A18" s="112"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3"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2"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2026-05-06T23:05:41Z</dcterms:created>
  <dcterms:modified xsi:type="dcterms:W3CDTF">2026-05-06T23:05:42Z</dcterms:modified>
</cp:coreProperties>
</file>