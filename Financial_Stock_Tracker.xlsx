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Quantum Computing" sheetId="2" state="visible" r:id="rId2"/>
    <sheet name="🖥️ Semiconductors &amp; Compute" sheetId="3" state="visible" r:id="rId3"/>
    <sheet name="⚙️ AI Picks &amp; Shovels" sheetId="4" state="visible" r:id="rId4"/>
    <sheet name="💡 Photonics &amp; Optics" sheetId="5" state="visible" r:id="rId5"/>
    <sheet name="🏗️ DC Builders &amp; Cooling" sheetId="6" state="visible" r:id="rId6"/>
    <sheet name="⚡ Power &amp; Energy" sheetId="7" state="visible" r:id="rId7"/>
    <sheet name="☁️ Neoclouds &amp; AI Software" sheetId="8" state="visible" r:id="rId8"/>
    <sheet name="🛡️ Defense &amp; Drones" sheetId="9" state="visible" r:id="rId9"/>
    <sheet name="🚀 Space Economy" sheetId="10" state="visible" r:id="rId10"/>
    <sheet name="🔭 Long Term Watchlist" sheetId="11" state="visible" r:id="rId11"/>
    <sheet name="📝 Research Notes" sheetId="12" state="visible" r:id="rId12"/>
  </sheets>
  <definedNames/>
  <calcPr calcId="124519" fullCalcOnLoad="1"/>
</workbook>
</file>

<file path=xl/styles.xml><?xml version="1.0" encoding="utf-8"?>
<styleSheet xmlns="http://schemas.openxmlformats.org/spreadsheetml/2006/main">
  <numFmts count="2">
    <numFmt numFmtId="164" formatCode="&quot;$&quot;#,##0.00"/>
    <numFmt numFmtId="165" formatCode="+0.00&quot;%&quot;;-0.00&quot;%&quot;;0.00&quot;%&quot;"/>
  </numFmts>
  <fonts count="26">
    <font>
      <name val="Calibri"/>
      <family val="2"/>
      <color theme="1"/>
      <sz val="11"/>
      <scheme val="minor"/>
    </font>
    <font>
      <name val="Calibri"/>
      <b val="1"/>
      <color rgb="00FFD700"/>
      <sz val="16"/>
    </font>
    <font>
      <name val="Calibri"/>
      <i val="1"/>
      <color rgb="00FFFFFF"/>
      <sz val="10"/>
    </font>
    <font>
      <name val="Calibri"/>
      <i val="1"/>
      <color rgb="007F6000"/>
      <sz val="9"/>
    </font>
    <font>
      <name val="Calibri"/>
      <b val="1"/>
      <color rgb="00FFFFFF"/>
      <sz val="11"/>
    </font>
    <font>
      <name val="Calibri"/>
      <b val="1"/>
      <color rgb="007030A0"/>
      <sz val="11"/>
    </font>
    <font>
      <name val="Calibri"/>
      <b val="1"/>
      <color rgb="000070C0"/>
      <sz val="11"/>
    </font>
    <font>
      <name val="Calibri"/>
      <b val="1"/>
      <color rgb="00C55A11"/>
      <sz val="11"/>
    </font>
    <font>
      <name val="Calibri"/>
      <b val="1"/>
      <color rgb="0000B0F0"/>
      <sz val="11"/>
    </font>
    <font>
      <name val="Calibri"/>
      <b val="1"/>
      <color rgb="00375623"/>
      <sz val="11"/>
    </font>
    <font>
      <name val="Calibri"/>
      <b val="1"/>
      <color rgb="00ED7D31"/>
      <sz val="11"/>
    </font>
    <font>
      <name val="Calibri"/>
      <b val="1"/>
      <color rgb="005A2E8C"/>
      <sz val="11"/>
    </font>
    <font>
      <name val="Calibri"/>
      <b val="1"/>
      <color rgb="00595959"/>
      <sz val="11"/>
    </font>
    <font>
      <name val="Calibri"/>
      <b val="1"/>
      <color rgb="00002060"/>
      <sz val="11"/>
    </font>
    <font>
      <name val="Calibri"/>
      <b val="1"/>
      <color rgb="002E75B6"/>
      <sz val="11"/>
    </font>
    <font>
      <name val="Calibri"/>
      <b val="1"/>
      <color rgb="00FFD700"/>
      <sz val="12"/>
    </font>
    <font>
      <name val="Calibri"/>
      <b val="1"/>
      <color rgb="00FFFFFF"/>
      <sz val="12"/>
    </font>
    <font>
      <name val="Calibri"/>
      <b val="1"/>
      <color rgb="001B2A4A"/>
      <sz val="10"/>
    </font>
    <font>
      <name val="Calibri"/>
      <color rgb="001B2A4A"/>
      <sz val="9"/>
    </font>
    <font>
      <name val="Calibri"/>
      <b val="1"/>
      <color rgb="00FFFFFF"/>
      <sz val="14"/>
    </font>
    <font>
      <name val="Calibri"/>
      <i val="1"/>
      <color rgb="001B2A4A"/>
      <sz val="10"/>
    </font>
    <font>
      <name val="Calibri"/>
      <b val="1"/>
      <color rgb="00FFFFFF"/>
      <sz val="10"/>
    </font>
    <font>
      <name val="Calibri"/>
      <b val="1"/>
      <color rgb="007F3F00"/>
      <sz val="10"/>
    </font>
    <font>
      <name val="Calibri"/>
      <b val="1"/>
      <color rgb="001B2A4A"/>
      <sz val="11"/>
    </font>
    <font>
      <name val="Calibri"/>
      <color rgb="001B2A4A"/>
      <sz val="10"/>
    </font>
    <font>
      <name val="Calibri"/>
      <b val="1"/>
      <color rgb="00FFD700"/>
      <sz val="14"/>
    </font>
  </fonts>
  <fills count="19">
    <fill>
      <patternFill/>
    </fill>
    <fill>
      <patternFill patternType="gray125"/>
    </fill>
    <fill>
      <patternFill patternType="solid">
        <fgColor rgb="001B2A4A"/>
        <bgColor rgb="001B2A4A"/>
      </patternFill>
    </fill>
    <fill>
      <patternFill patternType="solid">
        <fgColor rgb="002F5496"/>
        <bgColor rgb="002F5496"/>
      </patternFill>
    </fill>
    <fill>
      <patternFill patternType="solid">
        <fgColor rgb="00FFF2CC"/>
        <bgColor rgb="00FFF2CC"/>
      </patternFill>
    </fill>
    <fill>
      <patternFill patternType="solid">
        <fgColor rgb="00F5F5F5"/>
        <bgColor rgb="00F5F5F5"/>
      </patternFill>
    </fill>
    <fill>
      <patternFill patternType="solid">
        <fgColor rgb="00FFFFFF"/>
        <bgColor rgb="00FFFFFF"/>
      </patternFill>
    </fill>
    <fill>
      <patternFill patternType="solid">
        <fgColor rgb="00D9E1F2"/>
        <bgColor rgb="00D9E1F2"/>
      </patternFill>
    </fill>
    <fill>
      <patternFill patternType="solid">
        <fgColor rgb="007030A0"/>
        <bgColor rgb="007030A0"/>
      </patternFill>
    </fill>
    <fill>
      <patternFill patternType="solid">
        <fgColor rgb="00375623"/>
        <bgColor rgb="00375623"/>
      </patternFill>
    </fill>
    <fill>
      <patternFill patternType="solid">
        <fgColor rgb="000070C0"/>
        <bgColor rgb="000070C0"/>
      </patternFill>
    </fill>
    <fill>
      <patternFill patternType="solid">
        <fgColor rgb="009C0006"/>
        <bgColor rgb="009C0006"/>
      </patternFill>
    </fill>
    <fill>
      <patternFill patternType="solid">
        <fgColor rgb="00C55A11"/>
        <bgColor rgb="00C55A11"/>
      </patternFill>
    </fill>
    <fill>
      <patternFill patternType="solid">
        <fgColor rgb="0000B0F0"/>
        <bgColor rgb="0000B0F0"/>
      </patternFill>
    </fill>
    <fill>
      <patternFill patternType="solid">
        <fgColor rgb="00ED7D31"/>
        <bgColor rgb="00ED7D31"/>
      </patternFill>
    </fill>
    <fill>
      <patternFill patternType="solid">
        <fgColor rgb="005A2E8C"/>
        <bgColor rgb="005A2E8C"/>
      </patternFill>
    </fill>
    <fill>
      <patternFill patternType="solid">
        <fgColor rgb="00595959"/>
        <bgColor rgb="00595959"/>
      </patternFill>
    </fill>
    <fill>
      <patternFill patternType="solid">
        <fgColor rgb="00002060"/>
        <bgColor rgb="00002060"/>
      </patternFill>
    </fill>
    <fill>
      <patternFill patternType="solid">
        <fgColor rgb="002E75B6"/>
        <bgColor rgb="002E75B6"/>
      </patternFill>
    </fill>
  </fills>
  <borders count="3">
    <border>
      <left/>
      <right/>
      <top/>
      <bottom/>
      <diagonal/>
    </border>
    <border>
      <left style="thin">
        <color rgb="00AAAAAA"/>
      </left>
      <right style="thin">
        <color rgb="00AAAAAA"/>
      </right>
      <top style="medium">
        <color rgb="00AAAAAA"/>
      </top>
      <bottom style="medium">
        <color rgb="00AAAAAA"/>
      </bottom>
    </border>
    <border>
      <left style="thin">
        <color rgb="00AAAAAA"/>
      </left>
      <right style="thin">
        <color rgb="00AAAAAA"/>
      </right>
      <top style="thin">
        <color rgb="00AAAAAA"/>
      </top>
      <bottom style="thin">
        <color rgb="00AAAAAA"/>
      </bottom>
    </border>
  </borders>
  <cellStyleXfs count="1">
    <xf numFmtId="0" fontId="0" fillId="0" borderId="0"/>
  </cellStyleXfs>
  <cellXfs count="1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5" borderId="2" applyAlignment="1" pivotButton="0" quotePrefix="0" xfId="0">
      <alignment horizontal="left" vertical="center" wrapText="1"/>
    </xf>
    <xf numFmtId="0" fontId="0" fillId="5" borderId="2" applyAlignment="1" pivotButton="0" quotePrefix="0" xfId="0">
      <alignment horizontal="center" vertical="center" wrapText="1"/>
    </xf>
    <xf numFmtId="0" fontId="0" fillId="5" borderId="2" applyAlignment="1" pivotButton="0" quotePrefix="0" xfId="0">
      <alignment horizontal="left" vertical="center" wrapText="1"/>
    </xf>
    <xf numFmtId="0" fontId="6" fillId="6" borderId="2" applyAlignment="1" pivotButton="0" quotePrefix="0" xfId="0">
      <alignment horizontal="left" vertical="center" wrapText="1"/>
    </xf>
    <xf numFmtId="0" fontId="0" fillId="6" borderId="2" applyAlignment="1" pivotButton="0" quotePrefix="0" xfId="0">
      <alignment horizontal="center" vertical="center" wrapText="1"/>
    </xf>
    <xf numFmtId="0" fontId="0" fillId="6" borderId="2" applyAlignment="1" pivotButton="0" quotePrefix="0" xfId="0">
      <alignment horizontal="left" vertical="center" wrapText="1"/>
    </xf>
    <xf numFmtId="0" fontId="7" fillId="5" borderId="2" applyAlignment="1" pivotButton="0" quotePrefix="0" xfId="0">
      <alignment horizontal="left" vertical="center" wrapText="1"/>
    </xf>
    <xf numFmtId="0" fontId="8" fillId="6" borderId="2" applyAlignment="1" pivotButton="0" quotePrefix="0" xfId="0">
      <alignment horizontal="left" vertical="center" wrapText="1"/>
    </xf>
    <xf numFmtId="0" fontId="9" fillId="5" borderId="2" applyAlignment="1" pivotButton="0" quotePrefix="0" xfId="0">
      <alignment horizontal="left" vertical="center" wrapText="1"/>
    </xf>
    <xf numFmtId="0" fontId="10" fillId="6" borderId="2" applyAlignment="1" pivotButton="0" quotePrefix="0" xfId="0">
      <alignment horizontal="left" vertical="center" wrapText="1"/>
    </xf>
    <xf numFmtId="0" fontId="11" fillId="5" borderId="2" applyAlignment="1" pivotButton="0" quotePrefix="0" xfId="0">
      <alignment horizontal="left" vertical="center" wrapText="1"/>
    </xf>
    <xf numFmtId="0" fontId="12" fillId="6" borderId="2" applyAlignment="1" pivotButton="0" quotePrefix="0" xfId="0">
      <alignment horizontal="left" vertical="center" wrapText="1"/>
    </xf>
    <xf numFmtId="0" fontId="13" fillId="5" borderId="2" applyAlignment="1" pivotButton="0" quotePrefix="0" xfId="0">
      <alignment horizontal="left" vertical="center" wrapText="1"/>
    </xf>
    <xf numFmtId="0" fontId="14" fillId="6" borderId="2" applyAlignment="1" pivotButton="0" quotePrefix="0" xfId="0">
      <alignment horizontal="left" vertical="center" wrapText="1"/>
    </xf>
    <xf numFmtId="0" fontId="15" fillId="2" borderId="1" applyAlignment="1" pivotButton="0" quotePrefix="0" xfId="0">
      <alignment horizontal="center" vertical="center" wrapText="1"/>
    </xf>
    <xf numFmtId="0" fontId="0" fillId="2" borderId="1" pivotButton="0" quotePrefix="0" xfId="0"/>
    <xf numFmtId="0" fontId="16" fillId="3" borderId="0" applyAlignment="1" pivotButton="0" quotePrefix="0" xfId="0">
      <alignment horizontal="left" vertical="center" wrapText="1"/>
    </xf>
    <xf numFmtId="0" fontId="17" fillId="7" borderId="0" applyAlignment="1" pivotButton="0" quotePrefix="0" xfId="0">
      <alignment horizontal="left" vertical="center" wrapText="1"/>
    </xf>
    <xf numFmtId="0" fontId="18" fillId="6" borderId="2" applyAlignment="1" pivotButton="0" quotePrefix="0" xfId="0">
      <alignment horizontal="left" vertical="top" wrapText="1"/>
    </xf>
    <xf numFmtId="0" fontId="19" fillId="8" borderId="0" applyAlignment="1" pivotButton="0" quotePrefix="0" xfId="0">
      <alignment horizontal="center" vertical="center" wrapText="1"/>
    </xf>
    <xf numFmtId="0" fontId="20" fillId="7" borderId="0" applyAlignment="1" pivotButton="0" quotePrefix="0" xfId="0">
      <alignment horizontal="left" vertical="center" wrapText="1"/>
    </xf>
    <xf numFmtId="0" fontId="21" fillId="8" borderId="1" applyAlignment="1" pivotButton="0" quotePrefix="0" xfId="0">
      <alignment horizontal="center" vertical="center" wrapText="1"/>
    </xf>
    <xf numFmtId="0" fontId="6" fillId="6" borderId="2" applyAlignment="1" pivotButton="0" quotePrefix="0" xfId="0">
      <alignment horizontal="center" vertical="center" wrapText="1"/>
    </xf>
    <xf numFmtId="164" fontId="0" fillId="4" borderId="2" applyAlignment="1" pivotButton="0" quotePrefix="0" xfId="0">
      <alignment horizontal="center" vertical="center" wrapText="1"/>
    </xf>
    <xf numFmtId="165" fontId="4" fillId="9" borderId="2" applyAlignment="1" pivotButton="0" quotePrefix="0" xfId="0">
      <alignment horizontal="center" vertical="center" wrapText="1"/>
    </xf>
    <xf numFmtId="3" fontId="0" fillId="4" borderId="2" applyAlignment="1" pivotButton="0" quotePrefix="0" xfId="0">
      <alignment horizontal="center" vertical="center" wrapText="1"/>
    </xf>
    <xf numFmtId="164" fontId="0" fillId="6" borderId="2" applyAlignment="1" pivotButton="0" quotePrefix="0" xfId="0">
      <alignment horizontal="center" vertical="center" wrapText="1"/>
    </xf>
    <xf numFmtId="10" fontId="0" fillId="6" borderId="2" applyAlignment="1" pivotButton="0" quotePrefix="0" xfId="0">
      <alignment horizontal="center" vertical="center" wrapText="1"/>
    </xf>
    <xf numFmtId="0" fontId="22" fillId="6" borderId="2" applyAlignment="1" pivotButton="0" quotePrefix="0" xfId="0">
      <alignment horizontal="center" vertical="center" wrapText="1"/>
    </xf>
    <xf numFmtId="0" fontId="6" fillId="5" borderId="2" applyAlignment="1" pivotButton="0" quotePrefix="0" xfId="0">
      <alignment horizontal="center" vertical="center" wrapText="1"/>
    </xf>
    <xf numFmtId="164" fontId="0" fillId="5" borderId="2" applyAlignment="1" pivotButton="0" quotePrefix="0" xfId="0">
      <alignment horizontal="center" vertical="center" wrapText="1"/>
    </xf>
    <xf numFmtId="10" fontId="0" fillId="5" borderId="2" applyAlignment="1" pivotButton="0" quotePrefix="0" xfId="0">
      <alignment horizontal="center" vertical="center" wrapText="1"/>
    </xf>
    <xf numFmtId="0" fontId="22" fillId="5" borderId="2" applyAlignment="1" pivotButton="0" quotePrefix="0" xfId="0">
      <alignment horizontal="center" vertical="center" wrapText="1"/>
    </xf>
    <xf numFmtId="0" fontId="4" fillId="8" borderId="0" applyAlignment="1" pivotButton="0" quotePrefix="0" xfId="0">
      <alignment horizontal="center" vertical="center" wrapText="1"/>
    </xf>
    <xf numFmtId="164" fontId="4" fillId="8" borderId="1" applyAlignment="1" pivotButton="0" quotePrefix="0" xfId="0">
      <alignment horizontal="center" vertical="center" wrapText="1"/>
    </xf>
    <xf numFmtId="10" fontId="4" fillId="8" borderId="1" applyAlignment="1" pivotButton="0" quotePrefix="0" xfId="0">
      <alignment horizontal="center" vertical="center" wrapText="1"/>
    </xf>
    <xf numFmtId="0" fontId="4" fillId="8" borderId="0" applyAlignment="1" pivotButton="0" quotePrefix="0" xfId="0">
      <alignment horizontal="left" vertical="center"/>
    </xf>
    <xf numFmtId="0" fontId="0" fillId="8" borderId="0" pivotButton="0" quotePrefix="0" xfId="0"/>
    <xf numFmtId="0" fontId="23" fillId="7" borderId="0" applyAlignment="1" pivotButton="0" quotePrefix="0" xfId="0">
      <alignment horizontal="center" vertical="center"/>
    </xf>
    <xf numFmtId="0" fontId="23" fillId="7" borderId="0" applyAlignment="1" pivotButton="0" quotePrefix="0" xfId="0">
      <alignment horizontal="left" vertical="center"/>
    </xf>
    <xf numFmtId="0" fontId="0" fillId="5" borderId="0" pivotButton="0" quotePrefix="0" xfId="0"/>
    <xf numFmtId="0" fontId="24" fillId="5" borderId="0" applyAlignment="1" pivotButton="0" quotePrefix="0" xfId="0">
      <alignment horizontal="left" vertical="top" wrapText="1"/>
    </xf>
    <xf numFmtId="0" fontId="0" fillId="6" borderId="0" pivotButton="0" quotePrefix="0" xfId="0"/>
    <xf numFmtId="0" fontId="24" fillId="6" borderId="0" applyAlignment="1" pivotButton="0" quotePrefix="0" xfId="0">
      <alignment horizontal="left" vertical="top" wrapText="1"/>
    </xf>
    <xf numFmtId="0" fontId="19" fillId="10" borderId="0" applyAlignment="1" pivotButton="0" quotePrefix="0" xfId="0">
      <alignment horizontal="center" vertical="center" wrapText="1"/>
    </xf>
    <xf numFmtId="0" fontId="21" fillId="10" borderId="1" applyAlignment="1" pivotButton="0" quotePrefix="0" xfId="0">
      <alignment horizontal="center" vertical="center" wrapText="1"/>
    </xf>
    <xf numFmtId="165" fontId="4" fillId="11" borderId="2" applyAlignment="1" pivotButton="0" quotePrefix="0" xfId="0">
      <alignment horizontal="center" vertical="center" wrapText="1"/>
    </xf>
    <xf numFmtId="0" fontId="4" fillId="10" borderId="0" applyAlignment="1" pivotButton="0" quotePrefix="0" xfId="0">
      <alignment horizontal="center" vertical="center" wrapText="1"/>
    </xf>
    <xf numFmtId="164"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0" fontId="4" fillId="10" borderId="0" applyAlignment="1" pivotButton="0" quotePrefix="0" xfId="0">
      <alignment horizontal="left" vertical="center"/>
    </xf>
    <xf numFmtId="0" fontId="0" fillId="10" borderId="0" pivotButton="0" quotePrefix="0" xfId="0"/>
    <xf numFmtId="0" fontId="19" fillId="12" borderId="0" applyAlignment="1" pivotButton="0" quotePrefix="0" xfId="0">
      <alignment horizontal="center" vertical="center" wrapText="1"/>
    </xf>
    <xf numFmtId="0" fontId="21" fillId="12" borderId="1" applyAlignment="1" pivotButton="0" quotePrefix="0" xfId="0">
      <alignment horizontal="center" vertical="center" wrapText="1"/>
    </xf>
    <xf numFmtId="0" fontId="4" fillId="12" borderId="0" applyAlignment="1" pivotButton="0" quotePrefix="0" xfId="0">
      <alignment horizontal="center" vertical="center" wrapText="1"/>
    </xf>
    <xf numFmtId="164" fontId="4" fillId="12" borderId="1" applyAlignment="1" pivotButton="0" quotePrefix="0" xfId="0">
      <alignment horizontal="center" vertical="center" wrapText="1"/>
    </xf>
    <xf numFmtId="10" fontId="4" fillId="12" borderId="1" applyAlignment="1" pivotButton="0" quotePrefix="0" xfId="0">
      <alignment horizontal="center" vertical="center" wrapText="1"/>
    </xf>
    <xf numFmtId="0" fontId="4" fillId="12" borderId="0" applyAlignment="1" pivotButton="0" quotePrefix="0" xfId="0">
      <alignment horizontal="left" vertical="center"/>
    </xf>
    <xf numFmtId="0" fontId="0" fillId="12" borderId="0" pivotButton="0" quotePrefix="0" xfId="0"/>
    <xf numFmtId="0" fontId="19" fillId="13" borderId="0" applyAlignment="1" pivotButton="0" quotePrefix="0" xfId="0">
      <alignment horizontal="center" vertical="center" wrapText="1"/>
    </xf>
    <xf numFmtId="0" fontId="21" fillId="13" borderId="1" applyAlignment="1" pivotButton="0" quotePrefix="0" xfId="0">
      <alignment horizontal="center" vertical="center" wrapText="1"/>
    </xf>
    <xf numFmtId="0" fontId="4" fillId="13" borderId="0" applyAlignment="1" pivotButton="0" quotePrefix="0" xfId="0">
      <alignment horizontal="center" vertical="center" wrapText="1"/>
    </xf>
    <xf numFmtId="164" fontId="4" fillId="13" borderId="1" applyAlignment="1" pivotButton="0" quotePrefix="0" xfId="0">
      <alignment horizontal="center" vertical="center" wrapText="1"/>
    </xf>
    <xf numFmtId="10" fontId="4" fillId="13" borderId="1" applyAlignment="1" pivotButton="0" quotePrefix="0" xfId="0">
      <alignment horizontal="center" vertical="center" wrapText="1"/>
    </xf>
    <xf numFmtId="0" fontId="4" fillId="13" borderId="0" applyAlignment="1" pivotButton="0" quotePrefix="0" xfId="0">
      <alignment horizontal="left" vertical="center"/>
    </xf>
    <xf numFmtId="0" fontId="0" fillId="13" borderId="0" pivotButton="0" quotePrefix="0" xfId="0"/>
    <xf numFmtId="0" fontId="19" fillId="9" borderId="0" applyAlignment="1" pivotButton="0" quotePrefix="0" xfId="0">
      <alignment horizontal="center" vertical="center" wrapText="1"/>
    </xf>
    <xf numFmtId="0" fontId="21" fillId="9" borderId="1" applyAlignment="1" pivotButton="0" quotePrefix="0" xfId="0">
      <alignment horizontal="center" vertical="center" wrapText="1"/>
    </xf>
    <xf numFmtId="0" fontId="4" fillId="9" borderId="0" applyAlignment="1" pivotButton="0" quotePrefix="0" xfId="0">
      <alignment horizontal="center" vertical="center" wrapText="1"/>
    </xf>
    <xf numFmtId="164" fontId="4" fillId="9" borderId="1" applyAlignment="1" pivotButton="0" quotePrefix="0" xfId="0">
      <alignment horizontal="center" vertical="center" wrapText="1"/>
    </xf>
    <xf numFmtId="10" fontId="4" fillId="9" borderId="1" applyAlignment="1" pivotButton="0" quotePrefix="0" xfId="0">
      <alignment horizontal="center" vertical="center" wrapText="1"/>
    </xf>
    <xf numFmtId="0" fontId="4" fillId="9" borderId="0" applyAlignment="1" pivotButton="0" quotePrefix="0" xfId="0">
      <alignment horizontal="left" vertical="center"/>
    </xf>
    <xf numFmtId="0" fontId="0" fillId="9" borderId="0" pivotButton="0" quotePrefix="0" xfId="0"/>
    <xf numFmtId="0" fontId="19" fillId="14" borderId="0" applyAlignment="1" pivotButton="0" quotePrefix="0" xfId="0">
      <alignment horizontal="center" vertical="center" wrapText="1"/>
    </xf>
    <xf numFmtId="0" fontId="21" fillId="14" borderId="1" applyAlignment="1" pivotButton="0" quotePrefix="0" xfId="0">
      <alignment horizontal="center" vertical="center" wrapText="1"/>
    </xf>
    <xf numFmtId="0" fontId="4" fillId="14" borderId="0" applyAlignment="1" pivotButton="0" quotePrefix="0" xfId="0">
      <alignment horizontal="center" vertical="center" wrapText="1"/>
    </xf>
    <xf numFmtId="164" fontId="4" fillId="14" borderId="1" applyAlignment="1" pivotButton="0" quotePrefix="0" xfId="0">
      <alignment horizontal="center" vertical="center" wrapText="1"/>
    </xf>
    <xf numFmtId="10" fontId="4" fillId="14" borderId="1" applyAlignment="1" pivotButton="0" quotePrefix="0" xfId="0">
      <alignment horizontal="center" vertical="center" wrapText="1"/>
    </xf>
    <xf numFmtId="0" fontId="4" fillId="14" borderId="0" applyAlignment="1" pivotButton="0" quotePrefix="0" xfId="0">
      <alignment horizontal="left" vertical="center"/>
    </xf>
    <xf numFmtId="0" fontId="0" fillId="14" borderId="0" pivotButton="0" quotePrefix="0" xfId="0"/>
    <xf numFmtId="0" fontId="19" fillId="15" borderId="0" applyAlignment="1" pivotButton="0" quotePrefix="0" xfId="0">
      <alignment horizontal="center" vertical="center" wrapText="1"/>
    </xf>
    <xf numFmtId="0" fontId="21" fillId="15" borderId="1" applyAlignment="1" pivotButton="0" quotePrefix="0" xfId="0">
      <alignment horizontal="center" vertical="center" wrapText="1"/>
    </xf>
    <xf numFmtId="0" fontId="4" fillId="15" borderId="0" applyAlignment="1" pivotButton="0" quotePrefix="0" xfId="0">
      <alignment horizontal="center" vertical="center" wrapText="1"/>
    </xf>
    <xf numFmtId="164" fontId="4" fillId="15" borderId="1" applyAlignment="1" pivotButton="0" quotePrefix="0" xfId="0">
      <alignment horizontal="center" vertical="center" wrapText="1"/>
    </xf>
    <xf numFmtId="10" fontId="4" fillId="15" borderId="1" applyAlignment="1" pivotButton="0" quotePrefix="0" xfId="0">
      <alignment horizontal="center" vertical="center" wrapText="1"/>
    </xf>
    <xf numFmtId="0" fontId="4" fillId="15" borderId="0" applyAlignment="1" pivotButton="0" quotePrefix="0" xfId="0">
      <alignment horizontal="left" vertical="center"/>
    </xf>
    <xf numFmtId="0" fontId="0" fillId="15" borderId="0" pivotButton="0" quotePrefix="0" xfId="0"/>
    <xf numFmtId="0" fontId="19" fillId="16" borderId="0" applyAlignment="1" pivotButton="0" quotePrefix="0" xfId="0">
      <alignment horizontal="center" vertical="center" wrapText="1"/>
    </xf>
    <xf numFmtId="0" fontId="21" fillId="16" borderId="1" applyAlignment="1" pivotButton="0" quotePrefix="0" xfId="0">
      <alignment horizontal="center" vertical="center" wrapText="1"/>
    </xf>
    <xf numFmtId="0" fontId="4" fillId="16" borderId="0" applyAlignment="1" pivotButton="0" quotePrefix="0" xfId="0">
      <alignment horizontal="center" vertical="center" wrapText="1"/>
    </xf>
    <xf numFmtId="164" fontId="4" fillId="16" borderId="1" applyAlignment="1" pivotButton="0" quotePrefix="0" xfId="0">
      <alignment horizontal="center" vertical="center" wrapText="1"/>
    </xf>
    <xf numFmtId="10" fontId="4" fillId="16" borderId="1" applyAlignment="1" pivotButton="0" quotePrefix="0" xfId="0">
      <alignment horizontal="center" vertical="center" wrapText="1"/>
    </xf>
    <xf numFmtId="0" fontId="4" fillId="16" borderId="0" applyAlignment="1" pivotButton="0" quotePrefix="0" xfId="0">
      <alignment horizontal="left" vertical="center"/>
    </xf>
    <xf numFmtId="0" fontId="0" fillId="16" borderId="0" pivotButton="0" quotePrefix="0" xfId="0"/>
    <xf numFmtId="0" fontId="19" fillId="17" borderId="0" applyAlignment="1" pivotButton="0" quotePrefix="0" xfId="0">
      <alignment horizontal="center" vertical="center" wrapText="1"/>
    </xf>
    <xf numFmtId="0" fontId="21" fillId="17" borderId="1" applyAlignment="1" pivotButton="0" quotePrefix="0" xfId="0">
      <alignment horizontal="center" vertical="center" wrapText="1"/>
    </xf>
    <xf numFmtId="0" fontId="4" fillId="17" borderId="0" applyAlignment="1" pivotButton="0" quotePrefix="0" xfId="0">
      <alignment horizontal="center" vertical="center" wrapText="1"/>
    </xf>
    <xf numFmtId="164" fontId="4" fillId="17" borderId="1" applyAlignment="1" pivotButton="0" quotePrefix="0" xfId="0">
      <alignment horizontal="center" vertical="center" wrapText="1"/>
    </xf>
    <xf numFmtId="10" fontId="4" fillId="17" borderId="1" applyAlignment="1" pivotButton="0" quotePrefix="0" xfId="0">
      <alignment horizontal="center" vertical="center" wrapText="1"/>
    </xf>
    <xf numFmtId="0" fontId="4" fillId="17" borderId="0" applyAlignment="1" pivotButton="0" quotePrefix="0" xfId="0">
      <alignment horizontal="left" vertical="center"/>
    </xf>
    <xf numFmtId="0" fontId="0" fillId="17" borderId="0" pivotButton="0" quotePrefix="0" xfId="0"/>
    <xf numFmtId="0" fontId="19" fillId="18" borderId="0" applyAlignment="1" pivotButton="0" quotePrefix="0" xfId="0">
      <alignment horizontal="center" vertical="center" wrapText="1"/>
    </xf>
    <xf numFmtId="0" fontId="21" fillId="18" borderId="1" applyAlignment="1" pivotButton="0" quotePrefix="0" xfId="0">
      <alignment horizontal="center" vertical="center" wrapText="1"/>
    </xf>
    <xf numFmtId="0" fontId="4" fillId="18" borderId="0" applyAlignment="1" pivotButton="0" quotePrefix="0" xfId="0">
      <alignment horizontal="center" vertical="center" wrapText="1"/>
    </xf>
    <xf numFmtId="164" fontId="4" fillId="18" borderId="1" applyAlignment="1" pivotButton="0" quotePrefix="0" xfId="0">
      <alignment horizontal="center" vertical="center" wrapText="1"/>
    </xf>
    <xf numFmtId="10" fontId="4" fillId="18" borderId="1" applyAlignment="1" pivotButton="0" quotePrefix="0" xfId="0">
      <alignment horizontal="center" vertical="center" wrapText="1"/>
    </xf>
    <xf numFmtId="0" fontId="4" fillId="18" borderId="0" applyAlignment="1" pivotButton="0" quotePrefix="0" xfId="0">
      <alignment horizontal="left" vertical="center"/>
    </xf>
    <xf numFmtId="0" fontId="0" fillId="18" borderId="0" pivotButton="0" quotePrefix="0" xfId="0"/>
    <xf numFmtId="0" fontId="25" fillId="2" borderId="0" applyAlignment="1" pivotButton="0" quotePrefix="0" xfId="0">
      <alignment horizontal="center" vertical="center" wrapText="1"/>
    </xf>
    <xf numFmtId="0" fontId="17" fillId="7" borderId="2" applyAlignment="1" pivotButton="0" quotePrefix="0" xfId="0">
      <alignment horizontal="left" vertical="top" wrapText="1"/>
    </xf>
    <xf numFmtId="0" fontId="17" fillId="5" borderId="2" applyAlignment="1" pivotButton="0" quotePrefix="0" xfId="0">
      <alignment horizontal="left" vertical="top" wrapText="1"/>
    </xf>
  </cellXfs>
  <cellStyles count="1">
    <cellStyle name="Normal" xfId="0" builtinId="0" hidden="0"/>
  </cellStyles>
  <dxfs count="4">
    <dxf>
      <font>
        <name val="Calibri"/>
        <b val="1"/>
        <color rgb="00375623"/>
      </font>
      <fill>
        <patternFill patternType="solid">
          <fgColor rgb="00E2EFDA"/>
          <bgColor rgb="00E2EFDA"/>
        </patternFill>
      </fill>
    </dxf>
    <dxf>
      <font>
        <name val="Calibri"/>
        <b val="1"/>
        <color rgb="009C0006"/>
      </font>
      <fill>
        <patternFill patternType="solid">
          <fgColor rgb="00FFC7CE"/>
          <bgColor rgb="00FFC7CE"/>
        </patternFill>
      </fill>
    </dxf>
    <dxf>
      <font>
        <name val="Calibri"/>
        <b val="1"/>
        <color rgb="00FFFFFF"/>
        <sz val="10"/>
      </font>
      <fill>
        <patternFill patternType="solid">
          <fgColor rgb="00FF6600"/>
          <bgColor rgb="00FF6600"/>
        </patternFill>
      </fill>
    </dxf>
    <dxf>
      <fill>
        <patternFill patternType="solid">
          <fgColor rgb="00FFF0E0"/>
          <bgColor rgb="00FFF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P44"/>
  <sheetViews>
    <sheetView workbookViewId="0">
      <pane ySplit="5" topLeftCell="A6" activePane="bottomLeft" state="frozen"/>
      <selection pane="bottomLeft" activeCell="A1" sqref="A1"/>
    </sheetView>
  </sheetViews>
  <sheetFormatPr baseColWidth="8" defaultRowHeight="15"/>
  <cols>
    <col width="26" customWidth="1" min="1" max="1"/>
    <col width="10" customWidth="1" min="2" max="2"/>
    <col width="14" customWidth="1" min="3" max="3"/>
    <col width="38" customWidth="1" min="4" max="4"/>
    <col width="16" customWidth="1" min="5" max="5"/>
    <col width="16" customWidth="1" min="6" max="6"/>
    <col width="14" customWidth="1" min="7" max="7"/>
    <col width="10" customWidth="1" min="8" max="8"/>
  </cols>
  <sheetData>
    <row r="1" ht="36" customHeight="1">
      <c r="A1" s="1" t="inlineStr">
        <is>
          <t>📈 PERSONAL STOCK TRACKER — PORTFOLIO DASHBOARD</t>
        </is>
      </c>
    </row>
    <row r="2" ht="18" customHeight="1">
      <c r="A2" s="2" t="inlineStr">
        <is>
          <t>Update prices in each category tab. This dashboard auto-totals across all categories.</t>
        </is>
      </c>
    </row>
    <row r="3" ht="16" customHeight="1">
      <c r="A3" s="3" t="inlineStr">
        <is>
          <t>🟡 Yellow cells = your inputs  |  All other cells auto-calculate  |  Green = gain  |  Red = loss  |  📡 Prices fetched: May 07, 2026 at 01:23 AM</t>
        </is>
      </c>
    </row>
    <row r="4" ht="8" customHeight="1"/>
    <row r="5" ht="22" customHeight="1">
      <c r="A5" s="4" t="inlineStr">
        <is>
          <t>Category</t>
        </is>
      </c>
      <c r="B5" s="4" t="inlineStr">
        <is>
          <t># Stocks</t>
        </is>
      </c>
      <c r="C5" s="4" t="inlineStr">
        <is>
          <t>Risk Profile</t>
        </is>
      </c>
      <c r="D5" s="4" t="inlineStr">
        <is>
          <t>Theme</t>
        </is>
      </c>
      <c r="E5" s="4" t="inlineStr">
        <is>
          <t>Total Cost</t>
        </is>
      </c>
      <c r="F5" s="4" t="inlineStr">
        <is>
          <t>Current Value</t>
        </is>
      </c>
      <c r="G5" s="4" t="inlineStr">
        <is>
          <t>P&amp;L ($)</t>
        </is>
      </c>
      <c r="H5" s="4" t="inlineStr">
        <is>
          <t>P&amp;L (%)</t>
        </is>
      </c>
    </row>
    <row r="6" ht="20" customHeight="1">
      <c r="A6" s="5" t="inlineStr">
        <is>
          <t>⚛️ Quantum Computing</t>
        </is>
      </c>
      <c r="B6" s="6" t="n">
        <v>3</v>
      </c>
      <c r="C6" s="6" t="inlineStr">
        <is>
          <t>Very High</t>
        </is>
      </c>
      <c r="D6" s="7" t="inlineStr">
        <is>
          <t>High-risk quantum plays — 10× potential</t>
        </is>
      </c>
      <c r="E6" s="6" t="inlineStr"/>
      <c r="F6" s="6" t="inlineStr"/>
      <c r="G6" s="6" t="inlineStr"/>
      <c r="H6" s="6" t="inlineStr"/>
    </row>
    <row r="7" ht="20" customHeight="1">
      <c r="A7" s="8" t="inlineStr">
        <is>
          <t>🖥️ Semiconductors &amp; Compute</t>
        </is>
      </c>
      <c r="B7" s="9" t="n">
        <v>6</v>
      </c>
      <c r="C7" s="9" t="inlineStr">
        <is>
          <t>Medium</t>
        </is>
      </c>
      <c r="D7" s="10" t="inlineStr">
        <is>
          <t>Core compute names — stability &amp; compounders</t>
        </is>
      </c>
      <c r="E7" s="9" t="inlineStr"/>
      <c r="F7" s="9" t="inlineStr"/>
      <c r="G7" s="9" t="inlineStr"/>
      <c r="H7" s="9" t="inlineStr"/>
    </row>
    <row r="8" ht="20" customHeight="1">
      <c r="A8" s="11" t="inlineStr">
        <is>
          <t>⚙️ AI Picks &amp; Shovels</t>
        </is>
      </c>
      <c r="B8" s="6" t="n">
        <v>7</v>
      </c>
      <c r="C8" s="6" t="inlineStr">
        <is>
          <t>High</t>
        </is>
      </c>
      <c r="D8" s="7" t="inlineStr">
        <is>
          <t>Smaller-cap NVDA-adjacent — asymmetric upside</t>
        </is>
      </c>
      <c r="E8" s="6" t="inlineStr"/>
      <c r="F8" s="6" t="inlineStr"/>
      <c r="G8" s="6" t="inlineStr"/>
      <c r="H8" s="6" t="inlineStr"/>
    </row>
    <row r="9" ht="20" customHeight="1">
      <c r="A9" s="12" t="inlineStr">
        <is>
          <t>💡 Photonics &amp; Optics</t>
        </is>
      </c>
      <c r="B9" s="9" t="n">
        <v>1</v>
      </c>
      <c r="C9" s="9" t="inlineStr">
        <is>
          <t>High</t>
        </is>
      </c>
      <c r="D9" s="10" t="inlineStr">
        <is>
          <t>Optical interconnect — key AI DC bottleneck</t>
        </is>
      </c>
      <c r="E9" s="9" t="inlineStr"/>
      <c r="F9" s="9" t="inlineStr"/>
      <c r="G9" s="9" t="inlineStr"/>
      <c r="H9" s="9" t="inlineStr"/>
    </row>
    <row r="10" ht="20" customHeight="1">
      <c r="A10" s="13" t="inlineStr">
        <is>
          <t>🏗️ DC Builders &amp; Cooling</t>
        </is>
      </c>
      <c r="B10" s="6" t="n">
        <v>4</v>
      </c>
      <c r="C10" s="6" t="inlineStr">
        <is>
          <t>Low-Medium</t>
        </is>
      </c>
      <c r="D10" s="7" t="inlineStr">
        <is>
          <t>Data center construction &amp; cooling plays</t>
        </is>
      </c>
      <c r="E10" s="6" t="inlineStr"/>
      <c r="F10" s="6" t="inlineStr"/>
      <c r="G10" s="6" t="inlineStr"/>
      <c r="H10" s="6" t="inlineStr"/>
    </row>
    <row r="11" ht="20" customHeight="1">
      <c r="A11" s="14" t="inlineStr">
        <is>
          <t>⚡ Power &amp; Energy</t>
        </is>
      </c>
      <c r="B11" s="9" t="n">
        <v>4</v>
      </c>
      <c r="C11" s="9" t="inlineStr">
        <is>
          <t>Medium-High</t>
        </is>
      </c>
      <c r="D11" s="10" t="inlineStr">
        <is>
          <t>Power generation, grid &amp; nuclear for AI buildout</t>
        </is>
      </c>
      <c r="E11" s="9" t="inlineStr"/>
      <c r="F11" s="9" t="inlineStr"/>
      <c r="G11" s="9" t="inlineStr"/>
      <c r="H11" s="9" t="inlineStr"/>
    </row>
    <row r="12" ht="20" customHeight="1">
      <c r="A12" s="15" t="inlineStr">
        <is>
          <t>☁️ Neoclouds &amp; AI Software</t>
        </is>
      </c>
      <c r="B12" s="6" t="n">
        <v>2</v>
      </c>
      <c r="C12" s="6" t="inlineStr">
        <is>
          <t>Medium-High</t>
        </is>
      </c>
      <c r="D12" s="7" t="inlineStr">
        <is>
          <t>Next-gen cloud &amp; government AI software</t>
        </is>
      </c>
      <c r="E12" s="6" t="inlineStr"/>
      <c r="F12" s="6" t="inlineStr"/>
      <c r="G12" s="6" t="inlineStr"/>
      <c r="H12" s="6" t="inlineStr"/>
    </row>
    <row r="13" ht="20" customHeight="1">
      <c r="A13" s="16" t="inlineStr">
        <is>
          <t>🛡️ Defense &amp; Drones</t>
        </is>
      </c>
      <c r="B13" s="9" t="n">
        <v>1</v>
      </c>
      <c r="C13" s="9" t="inlineStr">
        <is>
          <t>Very High</t>
        </is>
      </c>
      <c r="D13" s="10" t="inlineStr">
        <is>
          <t>$1.5T defense budget — drone &amp; defense tech</t>
        </is>
      </c>
      <c r="E13" s="9" t="inlineStr"/>
      <c r="F13" s="9" t="inlineStr"/>
      <c r="G13" s="9" t="inlineStr"/>
      <c r="H13" s="9" t="inlineStr"/>
    </row>
    <row r="14" ht="20" customHeight="1">
      <c r="A14" s="17" t="inlineStr">
        <is>
          <t>🚀 Space Economy</t>
        </is>
      </c>
      <c r="B14" s="6" t="n">
        <v>1</v>
      </c>
      <c r="C14" s="6" t="inlineStr">
        <is>
          <t>High</t>
        </is>
      </c>
      <c r="D14" s="7" t="inlineStr">
        <is>
          <t>Space infrastructure — SpaceX IPO catalyst</t>
        </is>
      </c>
      <c r="E14" s="6" t="inlineStr"/>
      <c r="F14" s="6" t="inlineStr"/>
      <c r="G14" s="6" t="inlineStr"/>
      <c r="H14" s="6" t="inlineStr"/>
    </row>
    <row r="15" ht="20" customHeight="1">
      <c r="A15" s="18" t="inlineStr">
        <is>
          <t>🔭 Long Term Watchlist</t>
        </is>
      </c>
      <c r="B15" s="9" t="n">
        <v>2</v>
      </c>
      <c r="C15" s="9" t="inlineStr">
        <is>
          <t>Mixed</t>
        </is>
      </c>
      <c r="D15" s="10" t="inlineStr">
        <is>
          <t>Research candidates under active evaluation</t>
        </is>
      </c>
      <c r="E15" s="9" t="inlineStr"/>
      <c r="F15" s="9" t="inlineStr"/>
      <c r="G15" s="9" t="inlineStr"/>
      <c r="H15" s="9" t="inlineStr"/>
    </row>
    <row r="17" ht="24" customHeight="1">
      <c r="A17" s="19" t="inlineStr">
        <is>
          <t>GRAND TOTAL — ALL CATEGORIES</t>
        </is>
      </c>
      <c r="B17" s="20" t="n"/>
      <c r="C17" s="20" t="n"/>
      <c r="D17" s="20" t="n"/>
      <c r="E17" s="20" t="n"/>
      <c r="F17" s="20" t="n"/>
      <c r="G17" s="20" t="n"/>
      <c r="H17" s="20" t="n"/>
    </row>
    <row r="20" ht="22" customHeight="1">
      <c r="A20" s="21" t="inlineStr">
        <is>
          <t>📌  KEY RESEARCH NOTES &amp; THESIS</t>
        </is>
      </c>
    </row>
    <row r="21" ht="18" customHeight="1">
      <c r="A21" s="22" t="inlineStr">
        <is>
          <t>To-Do Actions</t>
        </is>
      </c>
    </row>
    <row r="22" ht="60" customHeight="1">
      <c r="A22" s="23" t="inlineStr">
        <is>
          <t>• Transfer 401k from Accrue/Vestwell → Charles Schwab
• Transfer 401k from Vanguard → Charles Schwab
• Open Capital One Savings Account (for holding taxes)
• Learn Unusual Whales website (watch YouTube tutorials)</t>
        </is>
      </c>
    </row>
    <row r="23"/>
    <row r="24"/>
    <row r="25" ht="18" customHeight="1">
      <c r="A25" s="22" t="inlineStr">
        <is>
          <t>AI Infrastructure Thesis</t>
        </is>
      </c>
    </row>
    <row r="26" ht="60" customHeight="1">
      <c r="A26" s="23" t="inlineStr">
        <is>
          <t>The AI trade is no longer just about GPUs. It is shifting down stack into:
  Memory Names | Photonics &amp; Optics | CPU Makers (INTC, AMD, ARM, NVDA)
  Data Center Builders &amp; Materials (CAT, FIX, POWL) | Cooling (VRT, FIX)
  Power Generation &amp; Grid (GEV, BE, PWR) | Nuclear (OKLO)</t>
        </is>
      </c>
    </row>
    <row r="27"/>
    <row r="28"/>
    <row r="29" ht="18" customHeight="1">
      <c r="A29" s="22" t="inlineStr">
        <is>
          <t>What Connects Small-Cap AI Names</t>
        </is>
      </c>
    </row>
    <row r="30" ht="60" customHeight="1">
      <c r="A30" s="23" t="inlineStr">
        <is>
          <t>These are not mini-NVDA clones. They represent:
  1. AI Infrastructure Bottlenecks: power (NVTS), chip testing (AEHR), data movement (CRDO/MTSI), efficiency (ALGM)
  2. Early Monetization Phase: revenue exists but still scaling
  3. Narrative Sensitivity: move on earnings beats, guidance raises, AI capex headlines</t>
        </is>
      </c>
    </row>
    <row r="31"/>
    <row r="32"/>
    <row r="33" ht="18" customHeight="1">
      <c r="A33" s="22" t="inlineStr">
        <is>
          <t>Recommended Core Portfolio Mix</t>
        </is>
      </c>
    </row>
    <row r="34" ht="60" customHeight="1">
      <c r="A34" s="23" t="inlineStr">
        <is>
          <t>LRCX (stability) | DRAM ETF | LITE (photonics moonshot) | NVDA (stability) | AVGO (stability)
FIX or POWL or CAT (pick one) | GEV (stability) | BE (if hydrogen thesis) | OKLO (nuclear moonshot, small %)
NBIS (future hyperscaler) | PLTR (gov AI software) | ONDS (drone defense, speculative) | RKLB (space economy)</t>
        </is>
      </c>
    </row>
    <row r="35"/>
    <row r="36"/>
    <row r="37" ht="18" customHeight="1">
      <c r="A37" s="22" t="inlineStr">
        <is>
          <t>Quantum Run Note</t>
        </is>
      </c>
    </row>
    <row r="38" ht="60" customHeight="1">
      <c r="A38" s="23" t="inlineStr">
        <is>
          <t>Next run will be quantum. Buy IONQ, RGTI, and QBTS. Easy 10× within 2 years.</t>
        </is>
      </c>
    </row>
    <row r="39"/>
    <row r="40"/>
    <row r="41" ht="18" customHeight="1">
      <c r="A41" s="22" t="inlineStr">
        <is>
          <t>Three Outliers Outside Data Center Trade</t>
        </is>
      </c>
    </row>
    <row r="42" ht="60" customHeight="1">
      <c r="A42" s="23" t="inlineStr">
        <is>
          <t>PLTR — AI Software. Integral to entire government AI stack.
ONDS — Drones &amp; Defense. $1.5T defense budget, $56B specifically to drones via DAWG Program.
RKLB — Space Economy. Huge future TAM. SpaceX IPO in June is a near-term catalyst.</t>
        </is>
      </c>
    </row>
    <row r="43"/>
    <row r="44"/>
  </sheetData>
  <mergeCells count="17">
    <mergeCell ref="A26:H28"/>
    <mergeCell ref="A17:D17"/>
    <mergeCell ref="A21:H21"/>
    <mergeCell ref="A34:H36"/>
    <mergeCell ref="A29:H29"/>
    <mergeCell ref="A25:H25"/>
    <mergeCell ref="A1:P1"/>
    <mergeCell ref="A20:H20"/>
    <mergeCell ref="A38:H40"/>
    <mergeCell ref="A41:H41"/>
    <mergeCell ref="A33:H33"/>
    <mergeCell ref="A22:H24"/>
    <mergeCell ref="A3:P3"/>
    <mergeCell ref="A42:H44"/>
    <mergeCell ref="A37:H37"/>
    <mergeCell ref="A30:H32"/>
    <mergeCell ref="A2:P2"/>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R19"/>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24" t="inlineStr">
        <is>
          <t>⚛️ Quantum Computing</t>
        </is>
      </c>
    </row>
    <row r="2" ht="18" customHeight="1">
      <c r="A2" s="25" t="inlineStr">
        <is>
          <t>High-risk quantum plays — potential 10× returns within 2 years</t>
        </is>
      </c>
    </row>
    <row r="3" ht="32" customHeight="1">
      <c r="A3" s="3" t="inlineStr">
        <is>
          <t>🟡 Yellow cells = your inputs  |  All other cells auto-calculate  |  📡 Prices fetched: May 07, 2026 at 01:23 AM</t>
        </is>
      </c>
    </row>
    <row r="4">
      <c r="A4" s="26" t="inlineStr">
        <is>
          <t>Ticker</t>
        </is>
      </c>
      <c r="B4" s="26" t="inlineStr">
        <is>
          <t>Company</t>
        </is>
      </c>
      <c r="C4" s="26" t="inlineStr">
        <is>
          <t>Focus / Niche</t>
        </is>
      </c>
      <c r="D4" s="26" t="inlineStr">
        <is>
          <t>Risk</t>
        </is>
      </c>
      <c r="E4" s="26" t="inlineStr">
        <is>
          <t>Current
Price</t>
        </is>
      </c>
      <c r="F4" s="26" t="inlineStr">
        <is>
          <t>Today's
+/- %</t>
        </is>
      </c>
      <c r="G4" s="26" t="inlineStr">
        <is>
          <t>Purchase
Price</t>
        </is>
      </c>
      <c r="H4" s="26" t="inlineStr">
        <is>
          <t>Shares
Owned</t>
        </is>
      </c>
      <c r="I4" s="26" t="inlineStr">
        <is>
          <t>Total
Cost</t>
        </is>
      </c>
      <c r="J4" s="26" t="inlineStr">
        <is>
          <t>Current
Value</t>
        </is>
      </c>
      <c r="K4" s="26" t="inlineStr">
        <is>
          <t>P&amp;L ($)</t>
        </is>
      </c>
      <c r="L4" s="26" t="inlineStr">
        <is>
          <t>P&amp;L (%)</t>
        </is>
      </c>
      <c r="M4" s="26" t="inlineStr">
        <is>
          <t>52W
High</t>
        </is>
      </c>
      <c r="N4" s="26" t="inlineStr">
        <is>
          <t>52W
Low</t>
        </is>
      </c>
      <c r="O4" s="26" t="inlineStr">
        <is>
          <t>% from
52W High</t>
        </is>
      </c>
      <c r="P4" s="26" t="inlineStr">
        <is>
          <t>Analyst
Target</t>
        </is>
      </c>
      <c r="Q4" s="26" t="inlineStr">
        <is>
          <t>Upside to
Target</t>
        </is>
      </c>
      <c r="R4" s="26" t="inlineStr">
        <is>
          <t>Price
Alert</t>
        </is>
      </c>
    </row>
    <row r="5">
      <c r="A5" s="27" t="inlineStr">
        <is>
          <t>IONQ</t>
        </is>
      </c>
      <c r="B5" s="10" t="inlineStr">
        <is>
          <t>IonQ Inc</t>
        </is>
      </c>
      <c r="C5" s="10" t="inlineStr">
        <is>
          <t>Quantum computing hardware &amp; software</t>
        </is>
      </c>
      <c r="D5" s="9" t="inlineStr">
        <is>
          <t>Very High</t>
        </is>
      </c>
      <c r="E5" s="28" t="n">
        <v>52.57</v>
      </c>
      <c r="F5" s="29" t="n">
        <v>9.429641329775643</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RGTI</t>
        </is>
      </c>
      <c r="B6" s="7" t="inlineStr">
        <is>
          <t>Rigetti Computing</t>
        </is>
      </c>
      <c r="C6" s="7" t="inlineStr">
        <is>
          <t>Quantum computing chips &amp; systems</t>
        </is>
      </c>
      <c r="D6" s="6" t="inlineStr">
        <is>
          <t>Very High</t>
        </is>
      </c>
      <c r="E6" s="28" t="n">
        <v>20.09</v>
      </c>
      <c r="F6" s="29" t="n">
        <v>10.38522273522322</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7">
      <c r="A7" s="27" t="inlineStr">
        <is>
          <t>QBTS</t>
        </is>
      </c>
      <c r="B7" s="10" t="inlineStr">
        <is>
          <t>D-Wave Quantum</t>
        </is>
      </c>
      <c r="C7" s="10" t="inlineStr">
        <is>
          <t>Quantum annealing systems</t>
        </is>
      </c>
      <c r="D7" s="9" t="inlineStr">
        <is>
          <t>Very High</t>
        </is>
      </c>
      <c r="E7" s="28" t="n">
        <v>23.83</v>
      </c>
      <c r="F7" s="29" t="n">
        <v>11.19925302709312</v>
      </c>
      <c r="G7" s="28" t="n">
        <v>0</v>
      </c>
      <c r="H7" s="30" t="n">
        <v>0</v>
      </c>
      <c r="I7" s="31">
        <f>G7*H7</f>
        <v/>
      </c>
      <c r="J7" s="31">
        <f>E7*H7</f>
        <v/>
      </c>
      <c r="K7" s="31">
        <f>J7-I7</f>
        <v/>
      </c>
      <c r="L7" s="32">
        <f>IFERROR(K7/I7,"")</f>
        <v/>
      </c>
      <c r="M7" s="28" t="n">
        <v>0</v>
      </c>
      <c r="N7" s="28" t="n">
        <v>0</v>
      </c>
      <c r="O7" s="32">
        <f>IFERROR(E7/M7-1,"")</f>
        <v/>
      </c>
      <c r="P7" s="28" t="n">
        <v>0</v>
      </c>
      <c r="Q7" s="32">
        <f>IFERROR(P7/E7-1,"")</f>
        <v/>
      </c>
      <c r="R7" s="33">
        <f>IF(AND(M7&gt;0,E7&gt;0,O7&lt;-0.2),"▼  BUY ZONE  (-20%+ off high)","")</f>
        <v/>
      </c>
    </row>
    <row r="9" ht="20" customHeight="1">
      <c r="A9" s="38" t="inlineStr">
        <is>
          <t>PORTFOLIO TOTALS</t>
        </is>
      </c>
      <c r="H9" s="39">
        <f>SUM(H5:H7)</f>
        <v/>
      </c>
      <c r="I9" s="39">
        <f>SUM(I5:I7)</f>
        <v/>
      </c>
      <c r="J9" s="39">
        <f>SUM(J5:J7)</f>
        <v/>
      </c>
      <c r="K9" s="40">
        <f>IFERROR(J9/H9,"")</f>
        <v/>
      </c>
    </row>
    <row r="11" ht="22" customHeight="1">
      <c r="A11" s="41" t="inlineStr">
        <is>
          <t>INVESTMENT THESIS &amp; RESEARCH NOTES</t>
        </is>
      </c>
      <c r="B11" s="42" t="n"/>
      <c r="C11" s="42" t="n"/>
      <c r="D11" s="42" t="n"/>
      <c r="E11" s="42" t="n"/>
      <c r="F11" s="42" t="n"/>
      <c r="G11" s="42" t="n"/>
      <c r="H11" s="42" t="n"/>
      <c r="I11" s="42" t="n"/>
      <c r="J11" s="42" t="n"/>
      <c r="K11" s="42" t="n"/>
      <c r="L11" s="42" t="n"/>
      <c r="M11" s="42" t="n"/>
      <c r="N11" s="42" t="n"/>
      <c r="O11" s="42" t="n"/>
      <c r="P11" s="42" t="n"/>
      <c r="Q11" s="42" t="n"/>
      <c r="R11" s="42" t="n"/>
    </row>
    <row r="12" ht="20" customHeight="1">
      <c r="A12" s="43" t="inlineStr">
        <is>
          <t>IONQ</t>
        </is>
      </c>
      <c r="B12" s="44" t="inlineStr">
        <is>
          <t xml:space="preserve">  IonQ Inc   |   Risk: Very High</t>
        </is>
      </c>
    </row>
    <row r="13" ht="177" customHeight="1">
      <c r="A13" s="45" t="n"/>
      <c r="B13" s="46" t="inlineStr">
        <is>
          <t>Next quantum run candidate. The belief: 'Buy IONQ,
RGTI, and QBTS — easy 10x within 2 years.' IonQ is the
most commercially advanced pure-play quantum computing
company, using trapped-ion technology which is
considered one of the most promising paths to fault-
tolerant quantum computers. They already have paying
customers (government, pharma, finance) and are
generating real revenue. When the next quantum hype
cycle hits, IonQ will be the headline name that
institutions pile into. Very speculative — treat as a
high-risk asymmetric bet and size position accordingly.</t>
        </is>
      </c>
    </row>
    <row r="14" ht="8" customHeight="1"/>
    <row r="15" ht="20" customHeight="1">
      <c r="A15" s="43" t="inlineStr">
        <is>
          <t>RGTI</t>
        </is>
      </c>
      <c r="B15" s="44" t="inlineStr">
        <is>
          <t xml:space="preserve">  Rigetti Computing   |   Risk: Very High</t>
        </is>
      </c>
    </row>
    <row r="16" ht="177" customHeight="1">
      <c r="A16" s="47" t="n"/>
      <c r="B16" s="48" t="inlineStr">
        <is>
          <t>Next quantum run candidate alongside IONQ and QBTS.
Rigetti builds its own quantum processors and offers
cloud-based quantum computing access. It's a smaller,
scrappier name than IonQ, which means more volatility
but also more upside if they execute. The company has
been building out its QPU (quantum processing unit)
roadmap and targeting commercial applications in
chemistry, logistics, and finance. When the next
quantum narrative cycle accelerates, RGTI tends to move
fast and hard. Pure asymmetric bet — small position,
high conviction on timing.</t>
        </is>
      </c>
    </row>
    <row r="17" ht="8" customHeight="1"/>
    <row r="18" ht="20" customHeight="1">
      <c r="A18" s="43" t="inlineStr">
        <is>
          <t>QBTS</t>
        </is>
      </c>
      <c r="B18" s="44" t="inlineStr">
        <is>
          <t xml:space="preserve">  D-Wave Quantum   |   Risk: Very High</t>
        </is>
      </c>
    </row>
    <row r="19" ht="177" customHeight="1">
      <c r="A19" s="45" t="n"/>
      <c r="B19" s="46" t="inlineStr">
        <is>
          <t>Next quantum run candidate alongside IONQ and RGTI.
D-Wave is unique in that it uses quantum annealing
rather than gate-based quantum computing, which makes
it commercially viable TODAY for specific optimization
problems — logistics, scheduling, materials discovery —
that classical computers struggle with. It already has
real enterprise customers generating recurring revenue.
The commercial viability argument is stronger than most
quantum names. Easy 10x potential if the next quantum
hype cycle materializes. Very speculative — size
position accordingly.</t>
        </is>
      </c>
    </row>
    <row r="20" ht="8" customHeight="1"/>
  </sheetData>
  <mergeCells count="4">
    <mergeCell ref="A3:R3"/>
    <mergeCell ref="A2:R2"/>
    <mergeCell ref="A1:R1"/>
    <mergeCell ref="A9:G9"/>
  </mergeCells>
  <conditionalFormatting sqref="J5:J7">
    <cfRule type="cellIs" priority="1" operator="greaterThan" dxfId="0">
      <formula>0</formula>
    </cfRule>
    <cfRule type="cellIs" priority="2" operator="lessThan" dxfId="1">
      <formula>0</formula>
    </cfRule>
  </conditionalFormatting>
  <conditionalFormatting sqref="K5:K7">
    <cfRule type="cellIs" priority="1" operator="greaterThan" dxfId="0">
      <formula>0</formula>
    </cfRule>
    <cfRule type="cellIs" priority="2" operator="lessThan" dxfId="1">
      <formula>0</formula>
    </cfRule>
  </conditionalFormatting>
  <conditionalFormatting sqref="R5:R7">
    <cfRule type="expression" priority="5" dxfId="2">
      <formula>$O5&lt;-0.2</formula>
    </cfRule>
  </conditionalFormatting>
  <conditionalFormatting sqref="A5:Q7">
    <cfRule type="expression" priority="6" dxfId="3">
      <formula>$O5&lt;-0.2</formula>
    </cfRule>
  </conditionalFormatting>
  <pageMargins left="0.75" right="0.75" top="1" bottom="1" header="0.5" footer="0.5"/>
</worksheet>
</file>

<file path=xl/worksheets/sheet3.xml><?xml version="1.0" encoding="utf-8"?>
<worksheet xmlns="http://schemas.openxmlformats.org/spreadsheetml/2006/main">
  <sheetPr>
    <tabColor rgb="000070C0"/>
    <outlinePr summaryBelow="1" summaryRight="1"/>
    <pageSetUpPr/>
  </sheetPr>
  <dimension ref="A1:R3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49" t="inlineStr">
        <is>
          <t>🖥️ Semiconductors &amp; Compute</t>
        </is>
      </c>
    </row>
    <row r="2" ht="18" customHeight="1">
      <c r="A2" s="25" t="inlineStr">
        <is>
          <t>Core semiconductor &amp; compute names — stability + steady compounders</t>
        </is>
      </c>
    </row>
    <row r="3" ht="32" customHeight="1">
      <c r="A3" s="3" t="inlineStr">
        <is>
          <t>🟡 Yellow cells = your inputs  |  All other cells auto-calculate  |  📡 Prices fetched: May 07, 2026 at 01:23 AM</t>
        </is>
      </c>
    </row>
    <row r="4">
      <c r="A4" s="50" t="inlineStr">
        <is>
          <t>Ticker</t>
        </is>
      </c>
      <c r="B4" s="50" t="inlineStr">
        <is>
          <t>Company</t>
        </is>
      </c>
      <c r="C4" s="50" t="inlineStr">
        <is>
          <t>Focus / Niche</t>
        </is>
      </c>
      <c r="D4" s="50" t="inlineStr">
        <is>
          <t>Risk</t>
        </is>
      </c>
      <c r="E4" s="50" t="inlineStr">
        <is>
          <t>Current
Price</t>
        </is>
      </c>
      <c r="F4" s="50" t="inlineStr">
        <is>
          <t>Today's
+/- %</t>
        </is>
      </c>
      <c r="G4" s="50" t="inlineStr">
        <is>
          <t>Purchase
Price</t>
        </is>
      </c>
      <c r="H4" s="50" t="inlineStr">
        <is>
          <t>Shares
Owned</t>
        </is>
      </c>
      <c r="I4" s="50" t="inlineStr">
        <is>
          <t>Total
Cost</t>
        </is>
      </c>
      <c r="J4" s="50" t="inlineStr">
        <is>
          <t>Current
Value</t>
        </is>
      </c>
      <c r="K4" s="50" t="inlineStr">
        <is>
          <t>P&amp;L ($)</t>
        </is>
      </c>
      <c r="L4" s="50" t="inlineStr">
        <is>
          <t>P&amp;L (%)</t>
        </is>
      </c>
      <c r="M4" s="50" t="inlineStr">
        <is>
          <t>52W
High</t>
        </is>
      </c>
      <c r="N4" s="50" t="inlineStr">
        <is>
          <t>52W
Low</t>
        </is>
      </c>
      <c r="O4" s="50" t="inlineStr">
        <is>
          <t>% from
52W High</t>
        </is>
      </c>
      <c r="P4" s="50" t="inlineStr">
        <is>
          <t>Analyst
Target</t>
        </is>
      </c>
      <c r="Q4" s="50" t="inlineStr">
        <is>
          <t>Upside to
Target</t>
        </is>
      </c>
      <c r="R4" s="50" t="inlineStr">
        <is>
          <t>Price
Alert</t>
        </is>
      </c>
    </row>
    <row r="5">
      <c r="A5" s="27" t="inlineStr">
        <is>
          <t>NVDA</t>
        </is>
      </c>
      <c r="B5" s="10" t="inlineStr">
        <is>
          <t>NVIDIA Corp</t>
        </is>
      </c>
      <c r="C5" s="10" t="inlineStr">
        <is>
          <t>GPUs, AI compute</t>
        </is>
      </c>
      <c r="D5" s="9" t="inlineStr">
        <is>
          <t>Medium</t>
        </is>
      </c>
      <c r="E5" s="28" t="n">
        <v>207.83</v>
      </c>
      <c r="F5" s="29" t="n">
        <v>5.272809613927784</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AVGO</t>
        </is>
      </c>
      <c r="B6" s="7" t="inlineStr">
        <is>
          <t>Broadcom Inc</t>
        </is>
      </c>
      <c r="C6" s="7" t="inlineStr">
        <is>
          <t>Semiconductors, networking</t>
        </is>
      </c>
      <c r="D6" s="6" t="inlineStr">
        <is>
          <t>Medium</t>
        </is>
      </c>
      <c r="E6" s="28" t="n">
        <v>425.44</v>
      </c>
      <c r="F6" s="51" t="n">
        <v>-1.518517953378183</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7">
      <c r="A7" s="27" t="inlineStr">
        <is>
          <t>LRCX</t>
        </is>
      </c>
      <c r="B7" s="10" t="inlineStr">
        <is>
          <t>Lam Research</t>
        </is>
      </c>
      <c r="C7" s="10" t="inlineStr">
        <is>
          <t>Semiconductor equipment, DRAM</t>
        </is>
      </c>
      <c r="D7" s="9" t="inlineStr">
        <is>
          <t>Medium</t>
        </is>
      </c>
      <c r="E7" s="28" t="n">
        <v>297.17</v>
      </c>
      <c r="F7" s="29" t="n">
        <v>6.196624174582565</v>
      </c>
      <c r="G7" s="28" t="n">
        <v>0</v>
      </c>
      <c r="H7" s="30" t="n">
        <v>0</v>
      </c>
      <c r="I7" s="31">
        <f>G7*H7</f>
        <v/>
      </c>
      <c r="J7" s="31">
        <f>E7*H7</f>
        <v/>
      </c>
      <c r="K7" s="31">
        <f>J7-I7</f>
        <v/>
      </c>
      <c r="L7" s="32">
        <f>IFERROR(K7/I7,"")</f>
        <v/>
      </c>
      <c r="M7" s="28" t="n">
        <v>0</v>
      </c>
      <c r="N7" s="28" t="n">
        <v>0</v>
      </c>
      <c r="O7" s="32">
        <f>IFERROR(E7/M7-1,"")</f>
        <v/>
      </c>
      <c r="P7" s="28" t="n">
        <v>0</v>
      </c>
      <c r="Q7" s="32">
        <f>IFERROR(P7/E7-1,"")</f>
        <v/>
      </c>
      <c r="R7" s="33">
        <f>IF(AND(M7&gt;0,E7&gt;0,O7&lt;-0.2),"▼  BUY ZONE  (-20%+ off high)","")</f>
        <v/>
      </c>
    </row>
    <row r="8">
      <c r="A8" s="34" t="inlineStr">
        <is>
          <t>AMD</t>
        </is>
      </c>
      <c r="B8" s="7" t="inlineStr">
        <is>
          <t>Advanced Micro Devices</t>
        </is>
      </c>
      <c r="C8" s="7" t="inlineStr">
        <is>
          <t>CPUs, GPUs, AI chips</t>
        </is>
      </c>
      <c r="D8" s="6" t="inlineStr">
        <is>
          <t>Medium</t>
        </is>
      </c>
      <c r="E8" s="28" t="n">
        <v>421.39</v>
      </c>
      <c r="F8" s="29" t="n">
        <v>1.7850276928593</v>
      </c>
      <c r="G8" s="28" t="n">
        <v>0</v>
      </c>
      <c r="H8" s="30" t="n">
        <v>0</v>
      </c>
      <c r="I8" s="35">
        <f>G8*H8</f>
        <v/>
      </c>
      <c r="J8" s="35">
        <f>E8*H8</f>
        <v/>
      </c>
      <c r="K8" s="35">
        <f>J8-I8</f>
        <v/>
      </c>
      <c r="L8" s="36">
        <f>IFERROR(K8/I8,"")</f>
        <v/>
      </c>
      <c r="M8" s="28" t="n">
        <v>0</v>
      </c>
      <c r="N8" s="28" t="n">
        <v>0</v>
      </c>
      <c r="O8" s="36">
        <f>IFERROR(E8/M8-1,"")</f>
        <v/>
      </c>
      <c r="P8" s="28" t="n">
        <v>0</v>
      </c>
      <c r="Q8" s="36">
        <f>IFERROR(P8/E8-1,"")</f>
        <v/>
      </c>
      <c r="R8" s="37">
        <f>IF(AND(M8&gt;0,E8&gt;0,O8&lt;-0.2),"▼  BUY ZONE  (-20%+ off high)","")</f>
        <v/>
      </c>
    </row>
    <row r="9">
      <c r="A9" s="27" t="inlineStr">
        <is>
          <t>INTC</t>
        </is>
      </c>
      <c r="B9" s="10" t="inlineStr">
        <is>
          <t>Intel Corp</t>
        </is>
      </c>
      <c r="C9" s="10" t="inlineStr">
        <is>
          <t>CPUs, AI accelerators</t>
        </is>
      </c>
      <c r="D9" s="9" t="inlineStr">
        <is>
          <t>Med-High</t>
        </is>
      </c>
      <c r="E9" s="28" t="n">
        <v>113.01</v>
      </c>
      <c r="F9" s="51" t="n">
        <v>-0.2999540042077861</v>
      </c>
      <c r="G9" s="28" t="n">
        <v>0</v>
      </c>
      <c r="H9" s="30" t="n">
        <v>0</v>
      </c>
      <c r="I9" s="31">
        <f>G9*H9</f>
        <v/>
      </c>
      <c r="J9" s="31">
        <f>E9*H9</f>
        <v/>
      </c>
      <c r="K9" s="31">
        <f>J9-I9</f>
        <v/>
      </c>
      <c r="L9" s="32">
        <f>IFERROR(K9/I9,"")</f>
        <v/>
      </c>
      <c r="M9" s="28" t="n">
        <v>0</v>
      </c>
      <c r="N9" s="28" t="n">
        <v>0</v>
      </c>
      <c r="O9" s="32">
        <f>IFERROR(E9/M9-1,"")</f>
        <v/>
      </c>
      <c r="P9" s="28" t="n">
        <v>0</v>
      </c>
      <c r="Q9" s="32">
        <f>IFERROR(P9/E9-1,"")</f>
        <v/>
      </c>
      <c r="R9" s="33">
        <f>IF(AND(M9&gt;0,E9&gt;0,O9&lt;-0.2),"▼  BUY ZONE  (-20%+ off high)","")</f>
        <v/>
      </c>
    </row>
    <row r="10">
      <c r="A10" s="34" t="inlineStr">
        <is>
          <t>ARM</t>
        </is>
      </c>
      <c r="B10" s="7" t="inlineStr">
        <is>
          <t>Arm Holdings</t>
        </is>
      </c>
      <c r="C10" s="7" t="inlineStr">
        <is>
          <t>Chip architecture licensing</t>
        </is>
      </c>
      <c r="D10" s="6" t="inlineStr">
        <is>
          <t>Medium</t>
        </is>
      </c>
      <c r="E10" s="28" t="n">
        <v>237.3</v>
      </c>
      <c r="F10" s="29" t="n">
        <v>4.893251581027195</v>
      </c>
      <c r="G10" s="28" t="n">
        <v>0</v>
      </c>
      <c r="H10" s="30" t="n">
        <v>0</v>
      </c>
      <c r="I10" s="35">
        <f>G10*H10</f>
        <v/>
      </c>
      <c r="J10" s="35">
        <f>E10*H10</f>
        <v/>
      </c>
      <c r="K10" s="35">
        <f>J10-I10</f>
        <v/>
      </c>
      <c r="L10" s="36">
        <f>IFERROR(K10/I10,"")</f>
        <v/>
      </c>
      <c r="M10" s="28" t="n">
        <v>0</v>
      </c>
      <c r="N10" s="28" t="n">
        <v>0</v>
      </c>
      <c r="O10" s="36">
        <f>IFERROR(E10/M10-1,"")</f>
        <v/>
      </c>
      <c r="P10" s="28" t="n">
        <v>0</v>
      </c>
      <c r="Q10" s="36">
        <f>IFERROR(P10/E10-1,"")</f>
        <v/>
      </c>
      <c r="R10" s="37">
        <f>IF(AND(M10&gt;0,E10&gt;0,O10&lt;-0.2),"▼  BUY ZONE  (-20%+ off high)","")</f>
        <v/>
      </c>
    </row>
    <row r="12" ht="20" customHeight="1">
      <c r="A12" s="52" t="inlineStr">
        <is>
          <t>PORTFOLIO TOTALS</t>
        </is>
      </c>
      <c r="H12" s="53">
        <f>SUM(H5:H10)</f>
        <v/>
      </c>
      <c r="I12" s="53">
        <f>SUM(I5:I10)</f>
        <v/>
      </c>
      <c r="J12" s="53">
        <f>SUM(J5:J10)</f>
        <v/>
      </c>
      <c r="K12" s="54">
        <f>IFERROR(J12/H12,"")</f>
        <v/>
      </c>
    </row>
    <row r="14" ht="22" customHeight="1">
      <c r="A14" s="55" t="inlineStr">
        <is>
          <t>INVESTMENT THESIS &amp; RESEARCH NOTES</t>
        </is>
      </c>
      <c r="B14" s="56" t="n"/>
      <c r="C14" s="56" t="n"/>
      <c r="D14" s="56" t="n"/>
      <c r="E14" s="56" t="n"/>
      <c r="F14" s="56" t="n"/>
      <c r="G14" s="56" t="n"/>
      <c r="H14" s="56" t="n"/>
      <c r="I14" s="56" t="n"/>
      <c r="J14" s="56" t="n"/>
      <c r="K14" s="56" t="n"/>
      <c r="L14" s="56" t="n"/>
      <c r="M14" s="56" t="n"/>
      <c r="N14" s="56" t="n"/>
      <c r="O14" s="56" t="n"/>
      <c r="P14" s="56" t="n"/>
      <c r="Q14" s="56" t="n"/>
      <c r="R14" s="56" t="n"/>
    </row>
    <row r="15" ht="20" customHeight="1">
      <c r="A15" s="43" t="inlineStr">
        <is>
          <t>NVDA</t>
        </is>
      </c>
      <c r="B15" s="44" t="inlineStr">
        <is>
          <t xml:space="preserve">  NVIDIA Corp   |   Risk: Medium</t>
        </is>
      </c>
    </row>
    <row r="16" ht="177" customHeight="1">
      <c r="A16" s="45" t="n"/>
      <c r="B16" s="46" t="inlineStr">
        <is>
          <t>The AI compute king and the core stability position in
this portfolio. NVIDIA doesn't just make GPUs — it has
built the dominant software ecosystem (CUDA) that makes
its hardware nearly impossible to replace even if
competitors close the hardware gap. Every major
hyperscaler (Google, Amazon, Microsoft, Meta) depends
on NVIDIA for AI training. As AI spending continues to
accelerate, NVIDIA captures the most direct revenue
from every dollar spent on AI compute. This is a steady
compounder that also has massive upside as the AI
buildout continues. Hold as a core long-term position.</t>
        </is>
      </c>
    </row>
    <row r="17" ht="8" customHeight="1"/>
    <row r="18" ht="20" customHeight="1">
      <c r="A18" s="43" t="inlineStr">
        <is>
          <t>AVGO</t>
        </is>
      </c>
      <c r="B18" s="44" t="inlineStr">
        <is>
          <t xml:space="preserve">  Broadcom Inc   |   Risk: Medium</t>
        </is>
      </c>
    </row>
    <row r="19" ht="192" customHeight="1">
      <c r="A19" s="47" t="n"/>
      <c r="B19" s="48" t="inlineStr">
        <is>
          <t>Stability and steady compounder — one of the most
reliable semiconductor businesses in the world.
Broadcom makes the networking chips that connect all
the GPUs inside hyperscaler data centers. As AI
clusters scale to hundreds of thousands of GPUs, the
networking infrastructure connecting them becomes more
valuable and more complex. Broadcom also has a massive
software revenue stream from its VMware acquisition
that provides recurring cash flow stability. Management
is world-class at capital allocation. This is a core
hold that compounds quietly while the AI buildout
accelerates.</t>
        </is>
      </c>
    </row>
    <row r="20" ht="8" customHeight="1"/>
    <row r="21" ht="20" customHeight="1">
      <c r="A21" s="43" t="inlineStr">
        <is>
          <t>LRCX</t>
        </is>
      </c>
      <c r="B21" s="44" t="inlineStr">
        <is>
          <t xml:space="preserve">  Lam Research   |   Risk: Medium</t>
        </is>
      </c>
    </row>
    <row r="22" ht="192" customHeight="1">
      <c r="A22" s="45" t="n"/>
      <c r="B22" s="46" t="inlineStr">
        <is>
          <t>Stability and steady compounder — DRAM equipment
leader. Lam Research makes the etch and deposition
equipment that builds memory chips (DRAM and NAND). AI
requires massive amounts of high-bandwidth memory
(HBM), and every HBM chip that gets manufactured
requires Lam's tools. This gives Lam direct and durable
exposure to the AI memory build-out without the
volatility of owning the memory chipmakers directly.
The business is highly recurring (installed base +
consumables) and grows every time wafer starts
increase. A core picks-and-shovels play for the AI
infrastructure trade.</t>
        </is>
      </c>
    </row>
    <row r="23" ht="8" customHeight="1"/>
    <row r="24" ht="20" customHeight="1">
      <c r="A24" s="43" t="inlineStr">
        <is>
          <t>AMD</t>
        </is>
      </c>
      <c r="B24" s="44" t="inlineStr">
        <is>
          <t xml:space="preserve">  Advanced Micro Devices   |   Risk: Medium</t>
        </is>
      </c>
    </row>
    <row r="25" ht="192" customHeight="1">
      <c r="A25" s="47" t="n"/>
      <c r="B25" s="48" t="inlineStr">
        <is>
          <t>CPU maker deep in the AI infrastructure stack and the
only credible challenger to NVIDIA in AI accelerators.
AMD's MI300X GPU is winning meaningful enterprise AI
workloads, particularly inference, where customers want
a cheaper alternative to NVIDIA's H100/H200. On the CPU
side, AMD's EPYC chips power a huge share of
hyperscaler server infrastructure. The AI narrative is
also shifting down-stack into CPU makers — AMD benefits
from both trends simultaneously. Risk: NVIDIA's
software moat (CUDA) is still wide. But as a compounder
and a hedge on NVIDIA dominance, AMD belongs in the
portfolio.</t>
        </is>
      </c>
    </row>
    <row r="26" ht="8" customHeight="1"/>
    <row r="27" ht="20" customHeight="1">
      <c r="A27" s="43" t="inlineStr">
        <is>
          <t>INTC</t>
        </is>
      </c>
      <c r="B27" s="44" t="inlineStr">
        <is>
          <t xml:space="preserve">  Intel Corp   |   Risk: Med-High</t>
        </is>
      </c>
    </row>
    <row r="28" ht="222" customHeight="1">
      <c r="A28" s="45" t="n"/>
      <c r="B28" s="46" t="inlineStr">
        <is>
          <t>CPU maker in the AI infrastructure stack and the most
controversial turnaround story in semiconductors. Intel
lost its manufacturing lead to TSMC and its AI
accelerator business to NVIDIA and AMD. The thesis here
is a turnaround: new management, massive government
subsidies via the CHIPS Act, and a path to reclaiming
leading-edge manufacturing through its Intel Foundry
Services (IFS) division. If the turnaround works, INTC
is deeply undervalued. If it doesn't, the downside is
meaningful. This is a higher-risk position — size it as
a speculative turnaround bet, not a core hold. The AI
infrastructure narrative (CPU makers shifting down-
stack) gives it a tailwind even without a full
recovery.</t>
        </is>
      </c>
    </row>
    <row r="29" ht="8" customHeight="1"/>
    <row r="30" ht="20" customHeight="1">
      <c r="A30" s="43" t="inlineStr">
        <is>
          <t>ARM</t>
        </is>
      </c>
      <c r="B30" s="44" t="inlineStr">
        <is>
          <t xml:space="preserve">  Arm Holdings   |   Risk: Medium</t>
        </is>
      </c>
    </row>
    <row r="31" ht="192" customHeight="1">
      <c r="A31" s="47" t="n"/>
      <c r="B31" s="48" t="inlineStr">
        <is>
          <t>The architecture behind nearly every AI chip that isn't
an x86 CPU. ARM licenses its instruction set
architecture to Apple, Qualcomm, Amazon (Graviton),
Google, NVIDIA, and dozens of others. Every time an AI
edge chip, smartphone chip, or custom datacenter chip
gets designed and sold, ARM earns a royalty. This is a
pure royalty business model — no manufacturing risk, no
inventory risk — just IP licensing that scales with
every chip shipped globally. As AI moves to the edge
(phones, cars, robots), ARM's exposure compounds. The
royalty rate per chip is also increasing as designs get
more complex. A core compounder.</t>
        </is>
      </c>
    </row>
    <row r="32" ht="8" customHeight="1"/>
  </sheetData>
  <mergeCells count="4">
    <mergeCell ref="A3:R3"/>
    <mergeCell ref="A2:R2"/>
    <mergeCell ref="A1:R1"/>
    <mergeCell ref="A12:G12"/>
  </mergeCells>
  <conditionalFormatting sqref="J5:J10">
    <cfRule type="cellIs" priority="1" operator="greaterThan" dxfId="0">
      <formula>0</formula>
    </cfRule>
    <cfRule type="cellIs" priority="2" operator="lessThan" dxfId="1">
      <formula>0</formula>
    </cfRule>
  </conditionalFormatting>
  <conditionalFormatting sqref="K5:K10">
    <cfRule type="cellIs" priority="1" operator="greaterThan" dxfId="0">
      <formula>0</formula>
    </cfRule>
    <cfRule type="cellIs" priority="2" operator="lessThan" dxfId="1">
      <formula>0</formula>
    </cfRule>
  </conditionalFormatting>
  <conditionalFormatting sqref="R5:R10">
    <cfRule type="expression" priority="5" dxfId="2">
      <formula>$O5&lt;-0.2</formula>
    </cfRule>
  </conditionalFormatting>
  <conditionalFormatting sqref="A5:Q10">
    <cfRule type="expression" priority="6" dxfId="3">
      <formula>$O5&lt;-0.2</formula>
    </cfRule>
  </conditionalFormatting>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R35"/>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57" t="inlineStr">
        <is>
          <t>⚙️ AI Picks &amp; Shovels</t>
        </is>
      </c>
    </row>
    <row r="2" ht="18" customHeight="1">
      <c r="A2" s="25" t="inlineStr">
        <is>
          <t>Smaller-cap NVDA-adjacent setups — high risk, asymmetric upside</t>
        </is>
      </c>
    </row>
    <row r="3" ht="32" customHeight="1">
      <c r="A3" s="3" t="inlineStr">
        <is>
          <t>🟡 Yellow cells = your inputs  |  All other cells auto-calculate  |  📡 Prices fetched: May 07, 2026 at 01:23 AM</t>
        </is>
      </c>
    </row>
    <row r="4">
      <c r="A4" s="58" t="inlineStr">
        <is>
          <t>Ticker</t>
        </is>
      </c>
      <c r="B4" s="58" t="inlineStr">
        <is>
          <t>Company</t>
        </is>
      </c>
      <c r="C4" s="58" t="inlineStr">
        <is>
          <t>Focus / Niche</t>
        </is>
      </c>
      <c r="D4" s="58" t="inlineStr">
        <is>
          <t>Risk</t>
        </is>
      </c>
      <c r="E4" s="58" t="inlineStr">
        <is>
          <t>Current
Price</t>
        </is>
      </c>
      <c r="F4" s="58" t="inlineStr">
        <is>
          <t>Today's
+/- %</t>
        </is>
      </c>
      <c r="G4" s="58" t="inlineStr">
        <is>
          <t>Purchase
Price</t>
        </is>
      </c>
      <c r="H4" s="58" t="inlineStr">
        <is>
          <t>Shares
Owned</t>
        </is>
      </c>
      <c r="I4" s="58" t="inlineStr">
        <is>
          <t>Total
Cost</t>
        </is>
      </c>
      <c r="J4" s="58" t="inlineStr">
        <is>
          <t>Current
Value</t>
        </is>
      </c>
      <c r="K4" s="58" t="inlineStr">
        <is>
          <t>P&amp;L ($)</t>
        </is>
      </c>
      <c r="L4" s="58" t="inlineStr">
        <is>
          <t>P&amp;L (%)</t>
        </is>
      </c>
      <c r="M4" s="58" t="inlineStr">
        <is>
          <t>52W
High</t>
        </is>
      </c>
      <c r="N4" s="58" t="inlineStr">
        <is>
          <t>52W
Low</t>
        </is>
      </c>
      <c r="O4" s="58" t="inlineStr">
        <is>
          <t>% from
52W High</t>
        </is>
      </c>
      <c r="P4" s="58" t="inlineStr">
        <is>
          <t>Analyst
Target</t>
        </is>
      </c>
      <c r="Q4" s="58" t="inlineStr">
        <is>
          <t>Upside to
Target</t>
        </is>
      </c>
      <c r="R4" s="58" t="inlineStr">
        <is>
          <t>Price
Alert</t>
        </is>
      </c>
    </row>
    <row r="5">
      <c r="A5" s="27" t="inlineStr">
        <is>
          <t>NVTS</t>
        </is>
      </c>
      <c r="B5" s="10" t="inlineStr">
        <is>
          <t>Navitas Semiconductor</t>
        </is>
      </c>
      <c r="C5" s="10" t="inlineStr">
        <is>
          <t>GaN power chips for AI data centers</t>
        </is>
      </c>
      <c r="D5" s="9" t="inlineStr">
        <is>
          <t>High</t>
        </is>
      </c>
      <c r="E5" s="28" t="n">
        <v>16.68</v>
      </c>
      <c r="F5" s="29" t="n">
        <v>1.27504739025976</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AEHR</t>
        </is>
      </c>
      <c r="B6" s="7" t="inlineStr">
        <is>
          <t>AEHR Test Systems</t>
        </is>
      </c>
      <c r="C6" s="7" t="inlineStr">
        <is>
          <t>Semiconductor burn-in &amp; test equipment</t>
        </is>
      </c>
      <c r="D6" s="6" t="inlineStr">
        <is>
          <t>High</t>
        </is>
      </c>
      <c r="E6" s="28" t="n">
        <v>96.73</v>
      </c>
      <c r="F6" s="29" t="n">
        <v>6.176529155937345</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7">
      <c r="A7" s="27" t="inlineStr">
        <is>
          <t>CRDO</t>
        </is>
      </c>
      <c r="B7" s="10" t="inlineStr">
        <is>
          <t>Credo Technology</t>
        </is>
      </c>
      <c r="C7" s="10" t="inlineStr">
        <is>
          <t>High-speed connectivity / SerDes for AI DCs</t>
        </is>
      </c>
      <c r="D7" s="9" t="inlineStr">
        <is>
          <t>High</t>
        </is>
      </c>
      <c r="E7" s="28" t="n">
        <v>198.29</v>
      </c>
      <c r="F7" s="51" t="n">
        <v>-0.1057968331824622</v>
      </c>
      <c r="G7" s="28" t="n">
        <v>0</v>
      </c>
      <c r="H7" s="30" t="n">
        <v>0</v>
      </c>
      <c r="I7" s="31">
        <f>G7*H7</f>
        <v/>
      </c>
      <c r="J7" s="31">
        <f>E7*H7</f>
        <v/>
      </c>
      <c r="K7" s="31">
        <f>J7-I7</f>
        <v/>
      </c>
      <c r="L7" s="32">
        <f>IFERROR(K7/I7,"")</f>
        <v/>
      </c>
      <c r="M7" s="28" t="n">
        <v>0</v>
      </c>
      <c r="N7" s="28" t="n">
        <v>0</v>
      </c>
      <c r="O7" s="32">
        <f>IFERROR(E7/M7-1,"")</f>
        <v/>
      </c>
      <c r="P7" s="28" t="n">
        <v>0</v>
      </c>
      <c r="Q7" s="32">
        <f>IFERROR(P7/E7-1,"")</f>
        <v/>
      </c>
      <c r="R7" s="33">
        <f>IF(AND(M7&gt;0,E7&gt;0,O7&lt;-0.2),"▼  BUY ZONE  (-20%+ off high)","")</f>
        <v/>
      </c>
    </row>
    <row r="8">
      <c r="A8" s="34" t="inlineStr">
        <is>
          <t>ALGM</t>
        </is>
      </c>
      <c r="B8" s="7" t="inlineStr">
        <is>
          <t>Allegro MicroSystems</t>
        </is>
      </c>
      <c r="C8" s="7" t="inlineStr">
        <is>
          <t>Power &amp; sensing semiconductors</t>
        </is>
      </c>
      <c r="D8" s="6" t="inlineStr">
        <is>
          <t>Med-High</t>
        </is>
      </c>
      <c r="E8" s="28" t="n">
        <v>51.37</v>
      </c>
      <c r="F8" s="29" t="n">
        <v>2.7541779403253</v>
      </c>
      <c r="G8" s="28" t="n">
        <v>0</v>
      </c>
      <c r="H8" s="30" t="n">
        <v>0</v>
      </c>
      <c r="I8" s="35">
        <f>G8*H8</f>
        <v/>
      </c>
      <c r="J8" s="35">
        <f>E8*H8</f>
        <v/>
      </c>
      <c r="K8" s="35">
        <f>J8-I8</f>
        <v/>
      </c>
      <c r="L8" s="36">
        <f>IFERROR(K8/I8,"")</f>
        <v/>
      </c>
      <c r="M8" s="28" t="n">
        <v>0</v>
      </c>
      <c r="N8" s="28" t="n">
        <v>0</v>
      </c>
      <c r="O8" s="36">
        <f>IFERROR(E8/M8-1,"")</f>
        <v/>
      </c>
      <c r="P8" s="28" t="n">
        <v>0</v>
      </c>
      <c r="Q8" s="36">
        <f>IFERROR(P8/E8-1,"")</f>
        <v/>
      </c>
      <c r="R8" s="37">
        <f>IF(AND(M8&gt;0,E8&gt;0,O8&lt;-0.2),"▼  BUY ZONE  (-20%+ off high)","")</f>
        <v/>
      </c>
    </row>
    <row r="9">
      <c r="A9" s="27" t="inlineStr">
        <is>
          <t>HIMX</t>
        </is>
      </c>
      <c r="B9" s="10" t="inlineStr">
        <is>
          <t>Himax Technologies</t>
        </is>
      </c>
      <c r="C9" s="10" t="inlineStr">
        <is>
          <t>Display drivers + AR/AI vision chips</t>
        </is>
      </c>
      <c r="D9" s="9" t="inlineStr">
        <is>
          <t>High</t>
        </is>
      </c>
      <c r="E9" s="28" t="n">
        <v>12.33</v>
      </c>
      <c r="F9" s="51" t="n">
        <v>-0.2830576327856492</v>
      </c>
      <c r="G9" s="28" t="n">
        <v>0</v>
      </c>
      <c r="H9" s="30" t="n">
        <v>0</v>
      </c>
      <c r="I9" s="31">
        <f>G9*H9</f>
        <v/>
      </c>
      <c r="J9" s="31">
        <f>E9*H9</f>
        <v/>
      </c>
      <c r="K9" s="31">
        <f>J9-I9</f>
        <v/>
      </c>
      <c r="L9" s="32">
        <f>IFERROR(K9/I9,"")</f>
        <v/>
      </c>
      <c r="M9" s="28" t="n">
        <v>0</v>
      </c>
      <c r="N9" s="28" t="n">
        <v>0</v>
      </c>
      <c r="O9" s="32">
        <f>IFERROR(E9/M9-1,"")</f>
        <v/>
      </c>
      <c r="P9" s="28" t="n">
        <v>0</v>
      </c>
      <c r="Q9" s="32">
        <f>IFERROR(P9/E9-1,"")</f>
        <v/>
      </c>
      <c r="R9" s="33">
        <f>IF(AND(M9&gt;0,E9&gt;0,O9&lt;-0.2),"▼  BUY ZONE  (-20%+ off high)","")</f>
        <v/>
      </c>
    </row>
    <row r="10">
      <c r="A10" s="34" t="inlineStr">
        <is>
          <t>MTSI</t>
        </is>
      </c>
      <c r="B10" s="7" t="inlineStr">
        <is>
          <t>MACOM Technology</t>
        </is>
      </c>
      <c r="C10" s="7" t="inlineStr">
        <is>
          <t>RF, microwave, high-speed analog chips</t>
        </is>
      </c>
      <c r="D10" s="6" t="inlineStr">
        <is>
          <t>Med-High</t>
        </is>
      </c>
      <c r="E10" s="28" t="n">
        <v>309.81</v>
      </c>
      <c r="F10" s="29" t="n">
        <v>2.75621809571932</v>
      </c>
      <c r="G10" s="28" t="n">
        <v>0</v>
      </c>
      <c r="H10" s="30" t="n">
        <v>0</v>
      </c>
      <c r="I10" s="35">
        <f>G10*H10</f>
        <v/>
      </c>
      <c r="J10" s="35">
        <f>E10*H10</f>
        <v/>
      </c>
      <c r="K10" s="35">
        <f>J10-I10</f>
        <v/>
      </c>
      <c r="L10" s="36">
        <f>IFERROR(K10/I10,"")</f>
        <v/>
      </c>
      <c r="M10" s="28" t="n">
        <v>0</v>
      </c>
      <c r="N10" s="28" t="n">
        <v>0</v>
      </c>
      <c r="O10" s="36">
        <f>IFERROR(E10/M10-1,"")</f>
        <v/>
      </c>
      <c r="P10" s="28" t="n">
        <v>0</v>
      </c>
      <c r="Q10" s="36">
        <f>IFERROR(P10/E10-1,"")</f>
        <v/>
      </c>
      <c r="R10" s="37">
        <f>IF(AND(M10&gt;0,E10&gt;0,O10&lt;-0.2),"▼  BUY ZONE  (-20%+ off high)","")</f>
        <v/>
      </c>
    </row>
    <row r="11">
      <c r="A11" s="27" t="inlineStr">
        <is>
          <t>AEVA</t>
        </is>
      </c>
      <c r="B11" s="10" t="inlineStr">
        <is>
          <t>Aeva Technologies</t>
        </is>
      </c>
      <c r="C11" s="10" t="inlineStr">
        <is>
          <t>Lidar + sensing for autonomous systems</t>
        </is>
      </c>
      <c r="D11" s="9" t="inlineStr">
        <is>
          <t>Very High</t>
        </is>
      </c>
      <c r="E11" s="28" t="n">
        <v>16.57</v>
      </c>
      <c r="F11" s="29" t="n">
        <v>7.110534549607098</v>
      </c>
      <c r="G11" s="28" t="n">
        <v>0</v>
      </c>
      <c r="H11" s="30" t="n">
        <v>0</v>
      </c>
      <c r="I11" s="31">
        <f>G11*H11</f>
        <v/>
      </c>
      <c r="J11" s="31">
        <f>E11*H11</f>
        <v/>
      </c>
      <c r="K11" s="31">
        <f>J11-I11</f>
        <v/>
      </c>
      <c r="L11" s="32">
        <f>IFERROR(K11/I11,"")</f>
        <v/>
      </c>
      <c r="M11" s="28" t="n">
        <v>0</v>
      </c>
      <c r="N11" s="28" t="n">
        <v>0</v>
      </c>
      <c r="O11" s="32">
        <f>IFERROR(E11/M11-1,"")</f>
        <v/>
      </c>
      <c r="P11" s="28" t="n">
        <v>0</v>
      </c>
      <c r="Q11" s="32">
        <f>IFERROR(P11/E11-1,"")</f>
        <v/>
      </c>
      <c r="R11" s="33">
        <f>IF(AND(M11&gt;0,E11&gt;0,O11&lt;-0.2),"▼  BUY ZONE  (-20%+ off high)","")</f>
        <v/>
      </c>
    </row>
    <row r="13" ht="20" customHeight="1">
      <c r="A13" s="59" t="inlineStr">
        <is>
          <t>PORTFOLIO TOTALS</t>
        </is>
      </c>
      <c r="H13" s="60">
        <f>SUM(H5:H11)</f>
        <v/>
      </c>
      <c r="I13" s="60">
        <f>SUM(I5:I11)</f>
        <v/>
      </c>
      <c r="J13" s="60">
        <f>SUM(J5:J11)</f>
        <v/>
      </c>
      <c r="K13" s="61">
        <f>IFERROR(J13/H13,"")</f>
        <v/>
      </c>
    </row>
    <row r="15" ht="22" customHeight="1">
      <c r="A15" s="62" t="inlineStr">
        <is>
          <t>INVESTMENT THESIS &amp; RESEARCH NOTES</t>
        </is>
      </c>
      <c r="B15" s="63" t="n"/>
      <c r="C15" s="63" t="n"/>
      <c r="D15" s="63" t="n"/>
      <c r="E15" s="63" t="n"/>
      <c r="F15" s="63" t="n"/>
      <c r="G15" s="63" t="n"/>
      <c r="H15" s="63" t="n"/>
      <c r="I15" s="63" t="n"/>
      <c r="J15" s="63" t="n"/>
      <c r="K15" s="63" t="n"/>
      <c r="L15" s="63" t="n"/>
      <c r="M15" s="63" t="n"/>
      <c r="N15" s="63" t="n"/>
      <c r="O15" s="63" t="n"/>
      <c r="P15" s="63" t="n"/>
      <c r="Q15" s="63" t="n"/>
      <c r="R15" s="63" t="n"/>
    </row>
    <row r="16" ht="20" customHeight="1">
      <c r="A16" s="43" t="inlineStr">
        <is>
          <t>NVTS</t>
        </is>
      </c>
      <c r="B16" s="44" t="inlineStr">
        <is>
          <t xml:space="preserve">  Navitas Semiconductor   |   Risk: High</t>
        </is>
      </c>
    </row>
    <row r="17" ht="222" customHeight="1">
      <c r="A17" s="45" t="n"/>
      <c r="B17" s="46" t="inlineStr">
        <is>
          <t>The NVDA-parallel picks-and-shovels bet for AI power.
Navitas makes GaN (gallium nitride) power chips that
are radically more efficient than traditional silicon-
based power delivery. AI data centers are hitting a
hard wall on power density — the amount of electricity
you can push into a rack is physically limited by
current power conversion technology. GaN solves this by
converting power more efficiently and at higher
frequencies, enabling denser, cooler, more power-
efficient data centers. As hyperscalers build out
hundreds of gigawatts of AI compute, NVTS stands to be
a critical infrastructure supplier. High-risk,
asymmetric upside — the kind of bet that looks obvious
in hindsight.</t>
        </is>
      </c>
    </row>
    <row r="18" ht="8" customHeight="1"/>
    <row r="19" ht="20" customHeight="1">
      <c r="A19" s="43" t="inlineStr">
        <is>
          <t>AEHR</t>
        </is>
      </c>
      <c r="B19" s="44" t="inlineStr">
        <is>
          <t xml:space="preserve">  AEHR Test Systems   |   Risk: High</t>
        </is>
      </c>
    </row>
    <row r="20" ht="192" customHeight="1">
      <c r="A20" s="47" t="n"/>
      <c r="B20" s="48" t="inlineStr">
        <is>
          <t>Classic shovels-in-a-gold-rush setup. AEHR makes
specialized semiconductor burn-in and test equipment
used to stress-test chips before they ship. As AI chips
become more complex and expensive (each H100 costs
$30k+), the cost of shipping a defective chip becomes
enormous — which means chip manufacturers are investing
heavily in advanced testing. More AI chips manufactured
= more testing bottleneck demand = more AEHR revenue.
The business is lumpy (large equipment orders), which
creates volatility, but the long-term tailwind is
durable. A pure picks-and-shovels beneficiary of the AI
chip production ramp.</t>
        </is>
      </c>
    </row>
    <row r="21" ht="8" customHeight="1"/>
    <row r="22" ht="20" customHeight="1">
      <c r="A22" s="43" t="inlineStr">
        <is>
          <t>CRDO</t>
        </is>
      </c>
      <c r="B22" s="44" t="inlineStr">
        <is>
          <t xml:space="preserve">  Credo Technology   |   Risk: High</t>
        </is>
      </c>
    </row>
    <row r="23" ht="207" customHeight="1">
      <c r="A23" s="45" t="n"/>
      <c r="B23" s="46" t="inlineStr">
        <is>
          <t>One of the cleanest AI infrastructure picks-and-shovels
names available. GPUs are useless if the data can't
move between them fast enough. Credo makes high-speed
SerDes (serializer/deserializer) connectivity chips
that are the plumbing inside AI data centers —
connecting GPUs to memory, switches, and storage at
speeds that match the compute throughput. As AI
clusters scale from thousands to hundreds of thousands
of GPUs, the interconnect bandwidth requirement
explodes. Credo has direct customer relationships with
hyperscalers and is already generating real revenue
from the AI buildout. Strong execution, growing
bookings, and a durable structural tailwind.</t>
        </is>
      </c>
    </row>
    <row r="24" ht="8" customHeight="1"/>
    <row r="25" ht="20" customHeight="1">
      <c r="A25" s="43" t="inlineStr">
        <is>
          <t>ALGM</t>
        </is>
      </c>
      <c r="B25" s="44" t="inlineStr">
        <is>
          <t xml:space="preserve">  Allegro MicroSystems   |   Risk: Med-High</t>
        </is>
      </c>
    </row>
    <row r="26" ht="207" customHeight="1">
      <c r="A26" s="47" t="n"/>
      <c r="B26" s="48" t="inlineStr">
        <is>
          <t>A quiet compounder that is early in its AI rerating
narrative. Allegro makes power management and sensing
semiconductors used in automotive, industrial, and
increasingly AI hardware applications. As AI hardware
demands more precise power delivery and thermal
sensing, Allegro's chips become more embedded in the
data center infrastructure. The automotive exposure (EV
power management) provides a separate growth vector.
Less hype than the pure-play AI names, which means it
hasn't been fully rerated yet — creating a potential
catch-up opportunity. More of a steady grower than a
moonshot, but with meaningful upside as the narrative
broadens.</t>
        </is>
      </c>
    </row>
    <row r="27" ht="8" customHeight="1"/>
    <row r="28" ht="20" customHeight="1">
      <c r="A28" s="43" t="inlineStr">
        <is>
          <t>HIMX</t>
        </is>
      </c>
      <c r="B28" s="44" t="inlineStr">
        <is>
          <t xml:space="preserve">  Himax Technologies   |   Risk: High</t>
        </is>
      </c>
    </row>
    <row r="29" ht="207" customHeight="1">
      <c r="A29" s="45" t="n"/>
      <c r="B29" s="46" t="inlineStr">
        <is>
          <t>An often-overlooked ADR with cyclical breakout
behavior. Himax makes display driver ICs and AI vision
chips used in AR/VR devices, automotive displays, and
AI edge sensing applications. When AI edge device
cycles accelerate — smartphones, AR glasses, smart
cameras — Himax tends to move fast. It's historically
undervalued relative to its revenue and has a pattern
of sharp re-ratings on earnings beats during upcycles.
The AR/AI vision chip exposure is genuinely interesting
as AI moves from the cloud to the edge. Higher
volatility, but the kind of name that can double in a
single cycle. Treat as a tactical position sized for
the volatility.</t>
        </is>
      </c>
    </row>
    <row r="30" ht="8" customHeight="1"/>
    <row r="31" ht="20" customHeight="1">
      <c r="A31" s="43" t="inlineStr">
        <is>
          <t>MTSI</t>
        </is>
      </c>
      <c r="B31" s="44" t="inlineStr">
        <is>
          <t xml:space="preserve">  MACOM Technology   |   Risk: Med-High</t>
        </is>
      </c>
    </row>
    <row r="32" ht="207" customHeight="1">
      <c r="A32" s="47" t="n"/>
      <c r="B32" s="48" t="inlineStr">
        <is>
          <t>Less hype, more industrial AI backbone. MACOM makes RF,
microwave, and high-speed analog chips used in data
center interconnects, telecom backbones, and defense
systems. As AI data centers demand ever-higher
bandwidth between racks and buildings, MACOM's optical
and RF interconnect chips become critical
infrastructure. The telecom angle also gives it
exposure to 5G buildout and the long-term bandwidth
expansion required to support AI inference at the edge.
Not a headline name, but a steady grower with durable
end-market demand. The kind of stock that compounds
quietly while the hype goes elsewhere, then re-rates
when the market catches up.</t>
        </is>
      </c>
    </row>
    <row r="33" ht="8" customHeight="1"/>
    <row r="34" ht="20" customHeight="1">
      <c r="A34" s="43" t="inlineStr">
        <is>
          <t>AEVA</t>
        </is>
      </c>
      <c r="B34" s="44" t="inlineStr">
        <is>
          <t xml:space="preserve">  Aeva Technologies   |   Risk: Very High</t>
        </is>
      </c>
    </row>
    <row r="35" ht="222" customHeight="1">
      <c r="A35" s="45" t="n"/>
      <c r="B35" s="46" t="inlineStr">
        <is>
          <t>Pure asymmetric bet — low probability, high upside if
they execute. Aeva makes FMCW (frequency-modulated
continuous-wave) lidar sensors for autonomous vehicles
and robotics. Their approach is technically
differentiated — FMCW lidar can detect velocity
directly (not just position) and works better in
adverse conditions than traditional lidar. The
autonomous vehicle and robotics market is massive if it
materializes, and Aeva would be a key sensing supplier.
Still in early commercialization — revenue is minimal
and the path to profitability is long. This is a
speculative moonshot, not a core position. Size it as a
lottery ticket: accept that it could go to zero, but
the upside if robotics/AV take off is 10-20x.</t>
        </is>
      </c>
    </row>
    <row r="36" ht="8" customHeight="1"/>
  </sheetData>
  <mergeCells count="4">
    <mergeCell ref="A3:R3"/>
    <mergeCell ref="A2:R2"/>
    <mergeCell ref="A13:G13"/>
    <mergeCell ref="A1:R1"/>
  </mergeCells>
  <conditionalFormatting sqref="J5:J11">
    <cfRule type="cellIs" priority="1" operator="greaterThan" dxfId="0">
      <formula>0</formula>
    </cfRule>
    <cfRule type="cellIs" priority="2" operator="lessThan" dxfId="1">
      <formula>0</formula>
    </cfRule>
  </conditionalFormatting>
  <conditionalFormatting sqref="K5:K11">
    <cfRule type="cellIs" priority="1" operator="greaterThan" dxfId="0">
      <formula>0</formula>
    </cfRule>
    <cfRule type="cellIs" priority="2" operator="lessThan" dxfId="1">
      <formula>0</formula>
    </cfRule>
  </conditionalFormatting>
  <conditionalFormatting sqref="R5:R11">
    <cfRule type="expression" priority="5" dxfId="2">
      <formula>$O5&lt;-0.2</formula>
    </cfRule>
  </conditionalFormatting>
  <conditionalFormatting sqref="A5:Q11">
    <cfRule type="expression" priority="6" dxfId="3">
      <formula>$O5&lt;-0.2</formula>
    </cfRule>
  </conditionalFormatting>
  <pageMargins left="0.75" right="0.75" top="1" bottom="1" header="0.5" footer="0.5"/>
</worksheet>
</file>

<file path=xl/worksheets/sheet5.xml><?xml version="1.0" encoding="utf-8"?>
<worksheet xmlns="http://schemas.openxmlformats.org/spreadsheetml/2006/main">
  <sheetPr>
    <tabColor rgb="0000B0F0"/>
    <outlinePr summaryBelow="1" summaryRight="1"/>
    <pageSetUpPr/>
  </sheetPr>
  <dimension ref="A1:R1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64" t="inlineStr">
        <is>
          <t>💡 Photonics &amp; Optics</t>
        </is>
      </c>
    </row>
    <row r="2" ht="18" customHeight="1">
      <c r="A2" s="25" t="inlineStr">
        <is>
          <t>Optical networking — key bottleneck in AI data center interconnect</t>
        </is>
      </c>
    </row>
    <row r="3" ht="32" customHeight="1">
      <c r="A3" s="3" t="inlineStr">
        <is>
          <t>🟡 Yellow cells = your inputs  |  All other cells auto-calculate  |  📡 Prices fetched: May 07, 2026 at 01:23 AM</t>
        </is>
      </c>
    </row>
    <row r="4">
      <c r="A4" s="65" t="inlineStr">
        <is>
          <t>Ticker</t>
        </is>
      </c>
      <c r="B4" s="65" t="inlineStr">
        <is>
          <t>Company</t>
        </is>
      </c>
      <c r="C4" s="65" t="inlineStr">
        <is>
          <t>Focus / Niche</t>
        </is>
      </c>
      <c r="D4" s="65" t="inlineStr">
        <is>
          <t>Risk</t>
        </is>
      </c>
      <c r="E4" s="65" t="inlineStr">
        <is>
          <t>Current
Price</t>
        </is>
      </c>
      <c r="F4" s="65" t="inlineStr">
        <is>
          <t>Today's
+/- %</t>
        </is>
      </c>
      <c r="G4" s="65" t="inlineStr">
        <is>
          <t>Purchase
Price</t>
        </is>
      </c>
      <c r="H4" s="65" t="inlineStr">
        <is>
          <t>Shares
Owned</t>
        </is>
      </c>
      <c r="I4" s="65" t="inlineStr">
        <is>
          <t>Total
Cost</t>
        </is>
      </c>
      <c r="J4" s="65" t="inlineStr">
        <is>
          <t>Current
Value</t>
        </is>
      </c>
      <c r="K4" s="65" t="inlineStr">
        <is>
          <t>P&amp;L ($)</t>
        </is>
      </c>
      <c r="L4" s="65" t="inlineStr">
        <is>
          <t>P&amp;L (%)</t>
        </is>
      </c>
      <c r="M4" s="65" t="inlineStr">
        <is>
          <t>52W
High</t>
        </is>
      </c>
      <c r="N4" s="65" t="inlineStr">
        <is>
          <t>52W
Low</t>
        </is>
      </c>
      <c r="O4" s="65" t="inlineStr">
        <is>
          <t>% from
52W High</t>
        </is>
      </c>
      <c r="P4" s="65" t="inlineStr">
        <is>
          <t>Analyst
Target</t>
        </is>
      </c>
      <c r="Q4" s="65" t="inlineStr">
        <is>
          <t>Upside to
Target</t>
        </is>
      </c>
      <c r="R4" s="65" t="inlineStr">
        <is>
          <t>Price
Alert</t>
        </is>
      </c>
    </row>
    <row r="5">
      <c r="A5" s="27" t="inlineStr">
        <is>
          <t>LITE</t>
        </is>
      </c>
      <c r="B5" s="10" t="inlineStr">
        <is>
          <t>Lumentum Holdings</t>
        </is>
      </c>
      <c r="C5" s="10" t="inlineStr">
        <is>
          <t>Photonics, optical components for AI DCs</t>
        </is>
      </c>
      <c r="D5" s="9" t="inlineStr">
        <is>
          <t>High</t>
        </is>
      </c>
      <c r="E5" s="28" t="n">
        <v>944.28</v>
      </c>
      <c r="F5" s="51" t="n">
        <v>-1.642619728464659</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7" ht="20" customHeight="1">
      <c r="A7" s="66" t="inlineStr">
        <is>
          <t>PORTFOLIO TOTALS</t>
        </is>
      </c>
      <c r="H7" s="67">
        <f>SUM(H5:H5)</f>
        <v/>
      </c>
      <c r="I7" s="67">
        <f>SUM(I5:I5)</f>
        <v/>
      </c>
      <c r="J7" s="67">
        <f>SUM(J5:J5)</f>
        <v/>
      </c>
      <c r="K7" s="68">
        <f>IFERROR(J7/H7,"")</f>
        <v/>
      </c>
    </row>
    <row r="9" ht="22" customHeight="1">
      <c r="A9" s="69" t="inlineStr">
        <is>
          <t>INVESTMENT THESIS &amp; RESEARCH NOTES</t>
        </is>
      </c>
      <c r="B9" s="70" t="n"/>
      <c r="C9" s="70" t="n"/>
      <c r="D9" s="70" t="n"/>
      <c r="E9" s="70" t="n"/>
      <c r="F9" s="70" t="n"/>
      <c r="G9" s="70" t="n"/>
      <c r="H9" s="70" t="n"/>
      <c r="I9" s="70" t="n"/>
      <c r="J9" s="70" t="n"/>
      <c r="K9" s="70" t="n"/>
      <c r="L9" s="70" t="n"/>
      <c r="M9" s="70" t="n"/>
      <c r="N9" s="70" t="n"/>
      <c r="O9" s="70" t="n"/>
      <c r="P9" s="70" t="n"/>
      <c r="Q9" s="70" t="n"/>
      <c r="R9" s="70" t="n"/>
    </row>
    <row r="10" ht="20" customHeight="1">
      <c r="A10" s="43" t="inlineStr">
        <is>
          <t>LITE</t>
        </is>
      </c>
      <c r="B10" s="44" t="inlineStr">
        <is>
          <t xml:space="preserve">  Lumentum Holdings   |   Risk: High</t>
        </is>
      </c>
    </row>
    <row r="11" ht="237" customHeight="1">
      <c r="A11" s="45" t="n"/>
      <c r="B11" s="46" t="inlineStr">
        <is>
          <t>King of Photonics — and this could be a genuine
moonshot. Lumentum makes the optical components
(lasers, transceivers, photonic integrated circuits)
that transmit data at the speed of light inside and
between AI data centers. As AI clusters scale to
hundreds of thousands of GPUs spread across multiple
buildings, the optical interconnect becomes the
critical bottleneck — you can't run copper cables at
those distances and speeds. Lumentum is one of the few
companies with the technology and scale to supply this
infrastructure. The AI tailwind here is massive and
underappreciated. Photonics is the next big narrative
after GPUs and power — when the market wakes up to the
data movement bottleneck, LITE is the headline name.
High conviction, high risk, moonshot potential.</t>
        </is>
      </c>
    </row>
    <row r="12" ht="8" customHeight="1"/>
  </sheetData>
  <mergeCells count="4">
    <mergeCell ref="A3:R3"/>
    <mergeCell ref="A2:R2"/>
    <mergeCell ref="A1:R1"/>
    <mergeCell ref="A7:G7"/>
  </mergeCells>
  <conditionalFormatting sqref="J5">
    <cfRule type="cellIs" priority="1" operator="greaterThan" dxfId="0">
      <formula>0</formula>
    </cfRule>
    <cfRule type="cellIs" priority="2" operator="lessThan" dxfId="1">
      <formula>0</formula>
    </cfRule>
  </conditionalFormatting>
  <conditionalFormatting sqref="K5">
    <cfRule type="cellIs" priority="1" operator="greaterThan" dxfId="0">
      <formula>0</formula>
    </cfRule>
    <cfRule type="cellIs" priority="2" operator="lessThan" dxfId="1">
      <formula>0</formula>
    </cfRule>
  </conditionalFormatting>
  <conditionalFormatting sqref="R5">
    <cfRule type="expression" priority="5" dxfId="2">
      <formula>$O5&lt;-0.2</formula>
    </cfRule>
  </conditionalFormatting>
  <conditionalFormatting sqref="A5:Q5">
    <cfRule type="expression" priority="6" dxfId="3">
      <formula>$O5&lt;-0.2</formula>
    </cfRule>
  </conditionalFormatting>
  <pageMargins left="0.75" right="0.75" top="1" bottom="1" header="0.5" footer="0.5"/>
</worksheet>
</file>

<file path=xl/worksheets/sheet6.xml><?xml version="1.0" encoding="utf-8"?>
<worksheet xmlns="http://schemas.openxmlformats.org/spreadsheetml/2006/main">
  <sheetPr>
    <tabColor rgb="00375623"/>
    <outlinePr summaryBelow="1" summaryRight="1"/>
    <pageSetUpPr/>
  </sheetPr>
  <dimension ref="A1:R23"/>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71" t="inlineStr">
        <is>
          <t>🏗️ DC Builders &amp; Cooling</t>
        </is>
      </c>
    </row>
    <row r="2" ht="18" customHeight="1">
      <c r="A2" s="25" t="inlineStr">
        <is>
          <t>Builders, materials, and cooling companies powering AI data center construction</t>
        </is>
      </c>
    </row>
    <row r="3" ht="32" customHeight="1">
      <c r="A3" s="3" t="inlineStr">
        <is>
          <t>🟡 Yellow cells = your inputs  |  All other cells auto-calculate  |  📡 Prices fetched: May 07, 2026 at 01:23 AM</t>
        </is>
      </c>
    </row>
    <row r="4">
      <c r="A4" s="72" t="inlineStr">
        <is>
          <t>Ticker</t>
        </is>
      </c>
      <c r="B4" s="72" t="inlineStr">
        <is>
          <t>Company</t>
        </is>
      </c>
      <c r="C4" s="72" t="inlineStr">
        <is>
          <t>Focus / Niche</t>
        </is>
      </c>
      <c r="D4" s="72" t="inlineStr">
        <is>
          <t>Risk</t>
        </is>
      </c>
      <c r="E4" s="72" t="inlineStr">
        <is>
          <t>Current
Price</t>
        </is>
      </c>
      <c r="F4" s="72" t="inlineStr">
        <is>
          <t>Today's
+/- %</t>
        </is>
      </c>
      <c r="G4" s="72" t="inlineStr">
        <is>
          <t>Purchase
Price</t>
        </is>
      </c>
      <c r="H4" s="72" t="inlineStr">
        <is>
          <t>Shares
Owned</t>
        </is>
      </c>
      <c r="I4" s="72" t="inlineStr">
        <is>
          <t>Total
Cost</t>
        </is>
      </c>
      <c r="J4" s="72" t="inlineStr">
        <is>
          <t>Current
Value</t>
        </is>
      </c>
      <c r="K4" s="72" t="inlineStr">
        <is>
          <t>P&amp;L ($)</t>
        </is>
      </c>
      <c r="L4" s="72" t="inlineStr">
        <is>
          <t>P&amp;L (%)</t>
        </is>
      </c>
      <c r="M4" s="72" t="inlineStr">
        <is>
          <t>52W
High</t>
        </is>
      </c>
      <c r="N4" s="72" t="inlineStr">
        <is>
          <t>52W
Low</t>
        </is>
      </c>
      <c r="O4" s="72" t="inlineStr">
        <is>
          <t>% from
52W High</t>
        </is>
      </c>
      <c r="P4" s="72" t="inlineStr">
        <is>
          <t>Analyst
Target</t>
        </is>
      </c>
      <c r="Q4" s="72" t="inlineStr">
        <is>
          <t>Upside to
Target</t>
        </is>
      </c>
      <c r="R4" s="72" t="inlineStr">
        <is>
          <t>Price
Alert</t>
        </is>
      </c>
    </row>
    <row r="5">
      <c r="A5" s="27" t="inlineStr">
        <is>
          <t>CAT</t>
        </is>
      </c>
      <c r="B5" s="10" t="inlineStr">
        <is>
          <t>Caterpillar Inc</t>
        </is>
      </c>
      <c r="C5" s="10" t="inlineStr">
        <is>
          <t>Heavy equipment, construction</t>
        </is>
      </c>
      <c r="D5" s="9" t="inlineStr">
        <is>
          <t>Low-Med</t>
        </is>
      </c>
      <c r="E5" s="28" t="n">
        <v>926.9299999999999</v>
      </c>
      <c r="F5" s="29" t="n">
        <v>1.762031516311836</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FIX</t>
        </is>
      </c>
      <c r="B6" s="7" t="inlineStr">
        <is>
          <t>Comfort Systems USA</t>
        </is>
      </c>
      <c r="C6" s="7" t="inlineStr">
        <is>
          <t>HVAC, mechanical, electrical for DCs</t>
        </is>
      </c>
      <c r="D6" s="6" t="inlineStr">
        <is>
          <t>Medium</t>
        </is>
      </c>
      <c r="E6" s="28" t="n">
        <v>2011.49</v>
      </c>
      <c r="F6" s="29" t="n">
        <v>1.284503883945205</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7">
      <c r="A7" s="27" t="inlineStr">
        <is>
          <t>POWL</t>
        </is>
      </c>
      <c r="B7" s="10" t="inlineStr">
        <is>
          <t>Powell Industries</t>
        </is>
      </c>
      <c r="C7" s="10" t="inlineStr">
        <is>
          <t>Electrical infrastructure for DCs</t>
        </is>
      </c>
      <c r="D7" s="9" t="inlineStr">
        <is>
          <t>Medium</t>
        </is>
      </c>
      <c r="E7" s="28" t="n">
        <v>320.3</v>
      </c>
      <c r="F7" s="29" t="n">
        <v>6.766662597656251</v>
      </c>
      <c r="G7" s="28" t="n">
        <v>0</v>
      </c>
      <c r="H7" s="30" t="n">
        <v>0</v>
      </c>
      <c r="I7" s="31">
        <f>G7*H7</f>
        <v/>
      </c>
      <c r="J7" s="31">
        <f>E7*H7</f>
        <v/>
      </c>
      <c r="K7" s="31">
        <f>J7-I7</f>
        <v/>
      </c>
      <c r="L7" s="32">
        <f>IFERROR(K7/I7,"")</f>
        <v/>
      </c>
      <c r="M7" s="28" t="n">
        <v>0</v>
      </c>
      <c r="N7" s="28" t="n">
        <v>0</v>
      </c>
      <c r="O7" s="32">
        <f>IFERROR(E7/M7-1,"")</f>
        <v/>
      </c>
      <c r="P7" s="28" t="n">
        <v>0</v>
      </c>
      <c r="Q7" s="32">
        <f>IFERROR(P7/E7-1,"")</f>
        <v/>
      </c>
      <c r="R7" s="33">
        <f>IF(AND(M7&gt;0,E7&gt;0,O7&lt;-0.2),"▼  BUY ZONE  (-20%+ off high)","")</f>
        <v/>
      </c>
    </row>
    <row r="8">
      <c r="A8" s="34" t="inlineStr">
        <is>
          <t>VRT</t>
        </is>
      </c>
      <c r="B8" s="7" t="inlineStr">
        <is>
          <t>Vertiv Holdings</t>
        </is>
      </c>
      <c r="C8" s="7" t="inlineStr">
        <is>
          <t>Cooling systems for AI data centers</t>
        </is>
      </c>
      <c r="D8" s="6" t="inlineStr">
        <is>
          <t>Medium</t>
        </is>
      </c>
      <c r="E8" s="28" t="n">
        <v>358.92</v>
      </c>
      <c r="F8" s="29" t="n">
        <v>2.939746301010801</v>
      </c>
      <c r="G8" s="28" t="n">
        <v>0</v>
      </c>
      <c r="H8" s="30" t="n">
        <v>0</v>
      </c>
      <c r="I8" s="35">
        <f>G8*H8</f>
        <v/>
      </c>
      <c r="J8" s="35">
        <f>E8*H8</f>
        <v/>
      </c>
      <c r="K8" s="35">
        <f>J8-I8</f>
        <v/>
      </c>
      <c r="L8" s="36">
        <f>IFERROR(K8/I8,"")</f>
        <v/>
      </c>
      <c r="M8" s="28" t="n">
        <v>0</v>
      </c>
      <c r="N8" s="28" t="n">
        <v>0</v>
      </c>
      <c r="O8" s="36">
        <f>IFERROR(E8/M8-1,"")</f>
        <v/>
      </c>
      <c r="P8" s="28" t="n">
        <v>0</v>
      </c>
      <c r="Q8" s="36">
        <f>IFERROR(P8/E8-1,"")</f>
        <v/>
      </c>
      <c r="R8" s="37">
        <f>IF(AND(M8&gt;0,E8&gt;0,O8&lt;-0.2),"▼  BUY ZONE  (-20%+ off high)","")</f>
        <v/>
      </c>
    </row>
    <row r="10" ht="20" customHeight="1">
      <c r="A10" s="73" t="inlineStr">
        <is>
          <t>PORTFOLIO TOTALS</t>
        </is>
      </c>
      <c r="H10" s="74">
        <f>SUM(H5:H8)</f>
        <v/>
      </c>
      <c r="I10" s="74">
        <f>SUM(I5:I8)</f>
        <v/>
      </c>
      <c r="J10" s="74">
        <f>SUM(J5:J8)</f>
        <v/>
      </c>
      <c r="K10" s="75">
        <f>IFERROR(J10/H10,"")</f>
        <v/>
      </c>
    </row>
    <row r="12" ht="22" customHeight="1">
      <c r="A12" s="76" t="inlineStr">
        <is>
          <t>INVESTMENT THESIS &amp; RESEARCH NOTES</t>
        </is>
      </c>
      <c r="B12" s="77" t="n"/>
      <c r="C12" s="77" t="n"/>
      <c r="D12" s="77" t="n"/>
      <c r="E12" s="77" t="n"/>
      <c r="F12" s="77" t="n"/>
      <c r="G12" s="77" t="n"/>
      <c r="H12" s="77" t="n"/>
      <c r="I12" s="77" t="n"/>
      <c r="J12" s="77" t="n"/>
      <c r="K12" s="77" t="n"/>
      <c r="L12" s="77" t="n"/>
      <c r="M12" s="77" t="n"/>
      <c r="N12" s="77" t="n"/>
      <c r="O12" s="77" t="n"/>
      <c r="P12" s="77" t="n"/>
      <c r="Q12" s="77" t="n"/>
      <c r="R12" s="77" t="n"/>
    </row>
    <row r="13" ht="20" customHeight="1">
      <c r="A13" s="43" t="inlineStr">
        <is>
          <t>CAT</t>
        </is>
      </c>
      <c r="B13" s="44" t="inlineStr">
        <is>
          <t xml:space="preserve">  Caterpillar Inc   |   Risk: Low-Med</t>
        </is>
      </c>
    </row>
    <row r="14" ht="207" customHeight="1">
      <c r="A14" s="45" t="n"/>
      <c r="B14" s="46" t="inlineStr">
        <is>
          <t>The actual builder and materials company in the AI data
center trade. AI data centers are physical buildings
requiring massive earthmoving, foundation work, and
construction equipment — and Caterpillar is the
dominant supplier of that heavy equipment globally.
Every hyperscaler campus that Meta, Google, Microsoft,
and Amazon builds requires CAT equipment on site. This
is a steadier, lower-volatility way to play the AI
infrastructure buildout than the semiconductor names.
CAT also benefits from infrastructure spending more
broadly (roads, bridges, energy projects) which
provides diversification. A solid core position —
steady compounder with the AI tailwind as a bonus.</t>
        </is>
      </c>
    </row>
    <row r="15" ht="8" customHeight="1"/>
    <row r="16" ht="20" customHeight="1">
      <c r="A16" s="43" t="inlineStr">
        <is>
          <t>FIX</t>
        </is>
      </c>
      <c r="B16" s="44" t="inlineStr">
        <is>
          <t xml:space="preserve">  Comfort Systems USA   |   Risk: Medium</t>
        </is>
      </c>
    </row>
    <row r="17" ht="207" customHeight="1">
      <c r="A17" s="47" t="n"/>
      <c r="B17" s="48" t="inlineStr">
        <is>
          <t>Builder AND cooling company — one of the best-
positioned picks-and-shovels plays in the AI buildout.
Comfort Systems provides HVAC, mechanical, plumbing,
and electrical systems for commercial buildings,
including AI data centers. Cooling is a MAJOR and
growing bottleneck in AI data centers — every GPU
cluster generates enormous heat that must be managed.
FIX designs and installs the entire MEP (mechanical,
electrical, plumbing) system that keeps these
facilities running. They have direct contracts with
hyperscalers and are seeing demand accelerate as AI
data center construction ramps. A quality business with
real earnings growth, not a speculative bet.</t>
        </is>
      </c>
    </row>
    <row r="18" ht="8" customHeight="1"/>
    <row r="19" ht="20" customHeight="1">
      <c r="A19" s="43" t="inlineStr">
        <is>
          <t>POWL</t>
        </is>
      </c>
      <c r="B19" s="44" t="inlineStr">
        <is>
          <t xml:space="preserve">  Powell Industries   |   Risk: Medium</t>
        </is>
      </c>
    </row>
    <row r="20" ht="207" customHeight="1">
      <c r="A20" s="45" t="n"/>
      <c r="B20" s="46" t="inlineStr">
        <is>
          <t>Electrical infrastructure builder for AI data centers —
the company that builds the switchgear, motor control
centers, and power distribution equipment that routes
electricity inside data centers and industrial
facilities. As AI data centers require ever-larger
amounts of power (some campus projects exceed 1 GW),
the electrical infrastructure to safely distribute that
power becomes a critical bottleneck. Powell has a
backlog-heavy business model with long-cycle orders,
which means revenue visibility is strong. Less volatile
than the semiconductor names because of the order
backlog and industrial nature of the business. A solid
mid-cap infrastructure pick with a genuine AI tailwind.</t>
        </is>
      </c>
    </row>
    <row r="21" ht="8" customHeight="1"/>
    <row r="22" ht="20" customHeight="1">
      <c r="A22" s="43" t="inlineStr">
        <is>
          <t>VRT</t>
        </is>
      </c>
      <c r="B22" s="44" t="inlineStr">
        <is>
          <t xml:space="preserve">  Vertiv Holdings   |   Risk: Medium</t>
        </is>
      </c>
    </row>
    <row r="23" ht="207" customHeight="1">
      <c r="A23" s="47" t="n"/>
      <c r="B23" s="48" t="inlineStr">
        <is>
          <t>The premier AI data center cooling play and one of the
most direct beneficiaries of the AI buildout. Vertiv
makes thermal management systems (liquid cooling, air
cooling, heat exchangers) along with power distribution
infrastructure for data centers. Cooling is not
optional — you cannot run a GPU cluster without solving
the thermal problem, and as GPU power consumption has
exploded from 300W to 700W per chip, existing cooling
infrastructure is completely inadequate. Every new AI
data center that gets built needs Vertiv's systems. The
company has multi-year backlog, growing margins, and is
adding capacity to meet demand. A high-conviction hold
in the AI infrastructure basket.</t>
        </is>
      </c>
    </row>
    <row r="24" ht="8" customHeight="1"/>
  </sheetData>
  <mergeCells count="4">
    <mergeCell ref="A3:R3"/>
    <mergeCell ref="A2:R2"/>
    <mergeCell ref="A1:R1"/>
    <mergeCell ref="A10:G10"/>
  </mergeCells>
  <conditionalFormatting sqref="J5:J8">
    <cfRule type="cellIs" priority="1" operator="greaterThan" dxfId="0">
      <formula>0</formula>
    </cfRule>
    <cfRule type="cellIs" priority="2" operator="lessThan" dxfId="1">
      <formula>0</formula>
    </cfRule>
  </conditionalFormatting>
  <conditionalFormatting sqref="K5:K8">
    <cfRule type="cellIs" priority="1" operator="greaterThan" dxfId="0">
      <formula>0</formula>
    </cfRule>
    <cfRule type="cellIs" priority="2" operator="lessThan" dxfId="1">
      <formula>0</formula>
    </cfRule>
  </conditionalFormatting>
  <conditionalFormatting sqref="R5:R8">
    <cfRule type="expression" priority="5" dxfId="2">
      <formula>$O5&lt;-0.2</formula>
    </cfRule>
  </conditionalFormatting>
  <conditionalFormatting sqref="A5:Q8">
    <cfRule type="expression" priority="6" dxfId="3">
      <formula>$O5&lt;-0.2</formula>
    </cfRule>
  </conditionalFormatting>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R23"/>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78" t="inlineStr">
        <is>
          <t>⚡ Power &amp; Energy</t>
        </is>
      </c>
    </row>
    <row r="2" ht="18" customHeight="1">
      <c r="A2" s="25" t="inlineStr">
        <is>
          <t>Power generation, grid maintenance &amp; nuclear energy for the AI buildout</t>
        </is>
      </c>
    </row>
    <row r="3" ht="32" customHeight="1">
      <c r="A3" s="3" t="inlineStr">
        <is>
          <t>🟡 Yellow cells = your inputs  |  All other cells auto-calculate  |  📡 Prices fetched: May 07, 2026 at 01:23 AM</t>
        </is>
      </c>
    </row>
    <row r="4">
      <c r="A4" s="79" t="inlineStr">
        <is>
          <t>Ticker</t>
        </is>
      </c>
      <c r="B4" s="79" t="inlineStr">
        <is>
          <t>Company</t>
        </is>
      </c>
      <c r="C4" s="79" t="inlineStr">
        <is>
          <t>Focus / Niche</t>
        </is>
      </c>
      <c r="D4" s="79" t="inlineStr">
        <is>
          <t>Risk</t>
        </is>
      </c>
      <c r="E4" s="79" t="inlineStr">
        <is>
          <t>Current
Price</t>
        </is>
      </c>
      <c r="F4" s="79" t="inlineStr">
        <is>
          <t>Today's
+/- %</t>
        </is>
      </c>
      <c r="G4" s="79" t="inlineStr">
        <is>
          <t>Purchase
Price</t>
        </is>
      </c>
      <c r="H4" s="79" t="inlineStr">
        <is>
          <t>Shares
Owned</t>
        </is>
      </c>
      <c r="I4" s="79" t="inlineStr">
        <is>
          <t>Total
Cost</t>
        </is>
      </c>
      <c r="J4" s="79" t="inlineStr">
        <is>
          <t>Current
Value</t>
        </is>
      </c>
      <c r="K4" s="79" t="inlineStr">
        <is>
          <t>P&amp;L ($)</t>
        </is>
      </c>
      <c r="L4" s="79" t="inlineStr">
        <is>
          <t>P&amp;L (%)</t>
        </is>
      </c>
      <c r="M4" s="79" t="inlineStr">
        <is>
          <t>52W
High</t>
        </is>
      </c>
      <c r="N4" s="79" t="inlineStr">
        <is>
          <t>52W
Low</t>
        </is>
      </c>
      <c r="O4" s="79" t="inlineStr">
        <is>
          <t>% from
52W High</t>
        </is>
      </c>
      <c r="P4" s="79" t="inlineStr">
        <is>
          <t>Analyst
Target</t>
        </is>
      </c>
      <c r="Q4" s="79" t="inlineStr">
        <is>
          <t>Upside to
Target</t>
        </is>
      </c>
      <c r="R4" s="79" t="inlineStr">
        <is>
          <t>Price
Alert</t>
        </is>
      </c>
    </row>
    <row r="5">
      <c r="A5" s="27" t="inlineStr">
        <is>
          <t>GEV</t>
        </is>
      </c>
      <c r="B5" s="10" t="inlineStr">
        <is>
          <t>GE Vernova</t>
        </is>
      </c>
      <c r="C5" s="10" t="inlineStr">
        <is>
          <t>Power generation &amp; grid equipment</t>
        </is>
      </c>
      <c r="D5" s="9" t="inlineStr">
        <is>
          <t>Medium</t>
        </is>
      </c>
      <c r="E5" s="28" t="n">
        <v>1118.96</v>
      </c>
      <c r="F5" s="29" t="n">
        <v>1.71068781586888</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PWR</t>
        </is>
      </c>
      <c r="B6" s="7" t="inlineStr">
        <is>
          <t>Quanta Services</t>
        </is>
      </c>
      <c r="C6" s="7" t="inlineStr">
        <is>
          <t>Power grid infrastructure &amp; maintenance</t>
        </is>
      </c>
      <c r="D6" s="6" t="inlineStr">
        <is>
          <t>Medium</t>
        </is>
      </c>
      <c r="E6" s="28" t="n">
        <v>785.24</v>
      </c>
      <c r="F6" s="29" t="n">
        <v>1.881307604947841</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7">
      <c r="A7" s="27" t="inlineStr">
        <is>
          <t>BE</t>
        </is>
      </c>
      <c r="B7" s="10" t="inlineStr">
        <is>
          <t>Bloom Energy</t>
        </is>
      </c>
      <c r="C7" s="10" t="inlineStr">
        <is>
          <t>Fuel cell power generation</t>
        </is>
      </c>
      <c r="D7" s="9" t="inlineStr">
        <is>
          <t>High</t>
        </is>
      </c>
      <c r="E7" s="28" t="n">
        <v>285.47</v>
      </c>
      <c r="F7" s="51" t="n">
        <v>-4.067043441964675</v>
      </c>
      <c r="G7" s="28" t="n">
        <v>0</v>
      </c>
      <c r="H7" s="30" t="n">
        <v>0</v>
      </c>
      <c r="I7" s="31">
        <f>G7*H7</f>
        <v/>
      </c>
      <c r="J7" s="31">
        <f>E7*H7</f>
        <v/>
      </c>
      <c r="K7" s="31">
        <f>J7-I7</f>
        <v/>
      </c>
      <c r="L7" s="32">
        <f>IFERROR(K7/I7,"")</f>
        <v/>
      </c>
      <c r="M7" s="28" t="n">
        <v>0</v>
      </c>
      <c r="N7" s="28" t="n">
        <v>0</v>
      </c>
      <c r="O7" s="32">
        <f>IFERROR(E7/M7-1,"")</f>
        <v/>
      </c>
      <c r="P7" s="28" t="n">
        <v>0</v>
      </c>
      <c r="Q7" s="32">
        <f>IFERROR(P7/E7-1,"")</f>
        <v/>
      </c>
      <c r="R7" s="33">
        <f>IF(AND(M7&gt;0,E7&gt;0,O7&lt;-0.2),"▼  BUY ZONE  (-20%+ off high)","")</f>
        <v/>
      </c>
    </row>
    <row r="8">
      <c r="A8" s="34" t="inlineStr">
        <is>
          <t>OKLO</t>
        </is>
      </c>
      <c r="B8" s="7" t="inlineStr">
        <is>
          <t>Oklo Inc</t>
        </is>
      </c>
      <c r="C8" s="7" t="inlineStr">
        <is>
          <t>Nuclear SMRs + nuclear fuel waste</t>
        </is>
      </c>
      <c r="D8" s="6" t="inlineStr">
        <is>
          <t>Very High</t>
        </is>
      </c>
      <c r="E8" s="28" t="n">
        <v>79.62</v>
      </c>
      <c r="F8" s="29" t="n">
        <v>17.15715530691883</v>
      </c>
      <c r="G8" s="28" t="n">
        <v>0</v>
      </c>
      <c r="H8" s="30" t="n">
        <v>0</v>
      </c>
      <c r="I8" s="35">
        <f>G8*H8</f>
        <v/>
      </c>
      <c r="J8" s="35">
        <f>E8*H8</f>
        <v/>
      </c>
      <c r="K8" s="35">
        <f>J8-I8</f>
        <v/>
      </c>
      <c r="L8" s="36">
        <f>IFERROR(K8/I8,"")</f>
        <v/>
      </c>
      <c r="M8" s="28" t="n">
        <v>0</v>
      </c>
      <c r="N8" s="28" t="n">
        <v>0</v>
      </c>
      <c r="O8" s="36">
        <f>IFERROR(E8/M8-1,"")</f>
        <v/>
      </c>
      <c r="P8" s="28" t="n">
        <v>0</v>
      </c>
      <c r="Q8" s="36">
        <f>IFERROR(P8/E8-1,"")</f>
        <v/>
      </c>
      <c r="R8" s="37">
        <f>IF(AND(M8&gt;0,E8&gt;0,O8&lt;-0.2),"▼  BUY ZONE  (-20%+ off high)","")</f>
        <v/>
      </c>
    </row>
    <row r="10" ht="20" customHeight="1">
      <c r="A10" s="80" t="inlineStr">
        <is>
          <t>PORTFOLIO TOTALS</t>
        </is>
      </c>
      <c r="H10" s="81">
        <f>SUM(H5:H8)</f>
        <v/>
      </c>
      <c r="I10" s="81">
        <f>SUM(I5:I8)</f>
        <v/>
      </c>
      <c r="J10" s="81">
        <f>SUM(J5:J8)</f>
        <v/>
      </c>
      <c r="K10" s="82">
        <f>IFERROR(J10/H10,"")</f>
        <v/>
      </c>
    </row>
    <row r="12" ht="22" customHeight="1">
      <c r="A12" s="83" t="inlineStr">
        <is>
          <t>INVESTMENT THESIS &amp; RESEARCH NOTES</t>
        </is>
      </c>
      <c r="B12" s="84" t="n"/>
      <c r="C12" s="84" t="n"/>
      <c r="D12" s="84" t="n"/>
      <c r="E12" s="84" t="n"/>
      <c r="F12" s="84" t="n"/>
      <c r="G12" s="84" t="n"/>
      <c r="H12" s="84" t="n"/>
      <c r="I12" s="84" t="n"/>
      <c r="J12" s="84" t="n"/>
      <c r="K12" s="84" t="n"/>
      <c r="L12" s="84" t="n"/>
      <c r="M12" s="84" t="n"/>
      <c r="N12" s="84" t="n"/>
      <c r="O12" s="84" t="n"/>
      <c r="P12" s="84" t="n"/>
      <c r="Q12" s="84" t="n"/>
      <c r="R12" s="84" t="n"/>
    </row>
    <row r="13" ht="20" customHeight="1">
      <c r="A13" s="43" t="inlineStr">
        <is>
          <t>GEV</t>
        </is>
      </c>
      <c r="B13" s="44" t="inlineStr">
        <is>
          <t xml:space="preserve">  GE Vernova   |   Risk: Medium</t>
        </is>
      </c>
    </row>
    <row r="14" ht="207" customHeight="1">
      <c r="A14" s="45" t="n"/>
      <c r="B14" s="46" t="inlineStr">
        <is>
          <t>Stability and steady compounder — the premier power
generation and grid equipment company spun out of GE.
GE Vernova makes gas turbines, wind turbines, grid
software, and electrification equipment. AI data
centers are consuming power at a rate that is straining
the US electrical grid, and new power generation
capacity takes years to build. GE Vernova is one of the
few companies with the scale and installed base to
actually supply that new capacity fast. Their gas
turbine backlog is multi-year and growing. This is not
a speculative bet — it's a high-quality industrial
compounder with a very real and durable demand tailwind
from AI power needs. A core long-term hold.</t>
        </is>
      </c>
    </row>
    <row r="15" ht="8" customHeight="1"/>
    <row r="16" ht="20" customHeight="1">
      <c r="A16" s="43" t="inlineStr">
        <is>
          <t>PWR</t>
        </is>
      </c>
      <c r="B16" s="44" t="inlineStr">
        <is>
          <t xml:space="preserve">  Quanta Services   |   Risk: Medium</t>
        </is>
      </c>
    </row>
    <row r="17" ht="237" customHeight="1">
      <c r="A17" s="47" t="n"/>
      <c r="B17" s="48" t="inlineStr">
        <is>
          <t>Power grid infrastructure and maintenance — a growing
bottleneck for the AI buildout. Quanta Services is the
largest specialty contractor for electric power
infrastructure in North America. They build and
maintain power lines, substations, and grid connections
that are essential to delivering electricity to AI data
centers. Every new data center campus needs a grid
connection, often requiring new transmission lines and
substations — all of which Quanta builds. The company
has multi-year visibility through its backlog and
framework agreements with utilities. A steady, high-
quality compounder that benefits directly and durably
from the AI power demand surge. Lower volatility than
the semiconductor names with a comparably strong
tailwind.</t>
        </is>
      </c>
    </row>
    <row r="18" ht="8" customHeight="1"/>
    <row r="19" ht="20" customHeight="1">
      <c r="A19" s="43" t="inlineStr">
        <is>
          <t>BE</t>
        </is>
      </c>
      <c r="B19" s="44" t="inlineStr">
        <is>
          <t xml:space="preserve">  Bloom Energy   |   Risk: High</t>
        </is>
      </c>
    </row>
    <row r="20" ht="237" customHeight="1">
      <c r="A20" s="45" t="n"/>
      <c r="B20" s="46" t="inlineStr">
        <is>
          <t>Moonshot potential if hydrogen and fuel cell technology
takes off — and the AI power crisis is accelerating the
timeline. Bloom Energy makes solid oxide fuel cells
that generate electricity on-site without connecting to
the grid. For AI data centers that need reliable,
clean, on-site power (especially in areas with grid
congestion), Bloom's solution is genuinely compelling.
They're already selling to data centers and have
partnerships with major tech companies. The bull case:
AI power demand is so acute that on-site generation
becomes mandatory, and Bloom is uniquely positioned.
The bear case: fuel cells are expensive and hydrogen
infrastructure is still nascent. Worth holding a
position — the upside if they win even a small share of
the AI power market is very large.</t>
        </is>
      </c>
    </row>
    <row r="21" ht="8" customHeight="1"/>
    <row r="22" ht="20" customHeight="1">
      <c r="A22" s="43" t="inlineStr">
        <is>
          <t>OKLO</t>
        </is>
      </c>
      <c r="B22" s="44" t="inlineStr">
        <is>
          <t xml:space="preserve">  Oklo Inc   |   Risk: Very High</t>
        </is>
      </c>
    </row>
    <row r="23" ht="252" customHeight="1">
      <c r="A23" s="47" t="n"/>
      <c r="B23" s="48" t="inlineStr">
        <is>
          <t>Nuclear SMRs and nuclear fuel waste company with
massive moonshot potential — but big regulatory and
execution risk. Oklo is building small modular nuclear
reactors (SMRs) that could provide clean, always-on
baseload power for AI data centers at scale. Several
major tech companies (including Microsoft) have already
signed nuclear power agreements, signaling that nuclear
is being taken seriously as an AI power solution. Oklo
also has a fuel recycling angle (using spent nuclear
fuel) that could be a significant business in itself.
The regulatory path is long and uncertain, and Oklo has
not yet built a commercial reactor. This is a small-%
portfolio position — accept that it could go to zero,
but the upside if nuclear SMRs get commercially
deployed is enormous and the valuation reflects very
little of that potential today.</t>
        </is>
      </c>
    </row>
    <row r="24" ht="8" customHeight="1"/>
  </sheetData>
  <mergeCells count="4">
    <mergeCell ref="A3:R3"/>
    <mergeCell ref="A2:R2"/>
    <mergeCell ref="A1:R1"/>
    <mergeCell ref="A10:G10"/>
  </mergeCells>
  <conditionalFormatting sqref="J5:J8">
    <cfRule type="cellIs" priority="1" operator="greaterThan" dxfId="0">
      <formula>0</formula>
    </cfRule>
    <cfRule type="cellIs" priority="2" operator="lessThan" dxfId="1">
      <formula>0</formula>
    </cfRule>
  </conditionalFormatting>
  <conditionalFormatting sqref="K5:K8">
    <cfRule type="cellIs" priority="1" operator="greaterThan" dxfId="0">
      <formula>0</formula>
    </cfRule>
    <cfRule type="cellIs" priority="2" operator="lessThan" dxfId="1">
      <formula>0</formula>
    </cfRule>
  </conditionalFormatting>
  <conditionalFormatting sqref="R5:R8">
    <cfRule type="expression" priority="5" dxfId="2">
      <formula>$O5&lt;-0.2</formula>
    </cfRule>
  </conditionalFormatting>
  <conditionalFormatting sqref="A5:Q8">
    <cfRule type="expression" priority="6" dxfId="3">
      <formula>$O5&lt;-0.2</formula>
    </cfRule>
  </conditionalFormatting>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R15"/>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85" t="inlineStr">
        <is>
          <t>☁️ Neoclouds &amp; AI Software</t>
        </is>
      </c>
    </row>
    <row r="2" ht="18" customHeight="1">
      <c r="A2" s="25" t="inlineStr">
        <is>
          <t>Next-gen cloud infrastructure and AI software platforms</t>
        </is>
      </c>
    </row>
    <row r="3" ht="32" customHeight="1">
      <c r="A3" s="3" t="inlineStr">
        <is>
          <t>🟡 Yellow cells = your inputs  |  All other cells auto-calculate  |  📡 Prices fetched: May 07, 2026 at 01:23 AM</t>
        </is>
      </c>
    </row>
    <row r="4">
      <c r="A4" s="86" t="inlineStr">
        <is>
          <t>Ticker</t>
        </is>
      </c>
      <c r="B4" s="86" t="inlineStr">
        <is>
          <t>Company</t>
        </is>
      </c>
      <c r="C4" s="86" t="inlineStr">
        <is>
          <t>Focus / Niche</t>
        </is>
      </c>
      <c r="D4" s="86" t="inlineStr">
        <is>
          <t>Risk</t>
        </is>
      </c>
      <c r="E4" s="86" t="inlineStr">
        <is>
          <t>Current
Price</t>
        </is>
      </c>
      <c r="F4" s="86" t="inlineStr">
        <is>
          <t>Today's
+/- %</t>
        </is>
      </c>
      <c r="G4" s="86" t="inlineStr">
        <is>
          <t>Purchase
Price</t>
        </is>
      </c>
      <c r="H4" s="86" t="inlineStr">
        <is>
          <t>Shares
Owned</t>
        </is>
      </c>
      <c r="I4" s="86" t="inlineStr">
        <is>
          <t>Total
Cost</t>
        </is>
      </c>
      <c r="J4" s="86" t="inlineStr">
        <is>
          <t>Current
Value</t>
        </is>
      </c>
      <c r="K4" s="86" t="inlineStr">
        <is>
          <t>P&amp;L ($)</t>
        </is>
      </c>
      <c r="L4" s="86" t="inlineStr">
        <is>
          <t>P&amp;L (%)</t>
        </is>
      </c>
      <c r="M4" s="86" t="inlineStr">
        <is>
          <t>52W
High</t>
        </is>
      </c>
      <c r="N4" s="86" t="inlineStr">
        <is>
          <t>52W
Low</t>
        </is>
      </c>
      <c r="O4" s="86" t="inlineStr">
        <is>
          <t>% from
52W High</t>
        </is>
      </c>
      <c r="P4" s="86" t="inlineStr">
        <is>
          <t>Analyst
Target</t>
        </is>
      </c>
      <c r="Q4" s="86" t="inlineStr">
        <is>
          <t>Upside to
Target</t>
        </is>
      </c>
      <c r="R4" s="86" t="inlineStr">
        <is>
          <t>Price
Alert</t>
        </is>
      </c>
    </row>
    <row r="5">
      <c r="A5" s="27" t="inlineStr">
        <is>
          <t>NBIS</t>
        </is>
      </c>
      <c r="B5" s="10" t="inlineStr">
        <is>
          <t>Nebius Group</t>
        </is>
      </c>
      <c r="C5" s="10" t="inlineStr">
        <is>
          <t>Neocloud + Clickhouse + AV Ride</t>
        </is>
      </c>
      <c r="D5" s="9" t="inlineStr">
        <is>
          <t>High</t>
        </is>
      </c>
      <c r="E5" s="28" t="n">
        <v>195.09</v>
      </c>
      <c r="F5" s="29" t="n">
        <v>10.84973796863014</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PLTR</t>
        </is>
      </c>
      <c r="B6" s="7" t="inlineStr">
        <is>
          <t>Palantir Technologies</t>
        </is>
      </c>
      <c r="C6" s="7" t="inlineStr">
        <is>
          <t>AI software, government AI stack</t>
        </is>
      </c>
      <c r="D6" s="6" t="inlineStr">
        <is>
          <t>Med-High</t>
        </is>
      </c>
      <c r="E6" s="28" t="n">
        <v>133.79</v>
      </c>
      <c r="F6" s="51" t="n">
        <v>-1.101424241474859</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8" ht="20" customHeight="1">
      <c r="A8" s="87" t="inlineStr">
        <is>
          <t>PORTFOLIO TOTALS</t>
        </is>
      </c>
      <c r="H8" s="88">
        <f>SUM(H5:H6)</f>
        <v/>
      </c>
      <c r="I8" s="88">
        <f>SUM(I5:I6)</f>
        <v/>
      </c>
      <c r="J8" s="88">
        <f>SUM(J5:J6)</f>
        <v/>
      </c>
      <c r="K8" s="89">
        <f>IFERROR(J8/H8,"")</f>
        <v/>
      </c>
    </row>
    <row r="10" ht="22" customHeight="1">
      <c r="A10" s="90" t="inlineStr">
        <is>
          <t>INVESTMENT THESIS &amp; RESEARCH NOTES</t>
        </is>
      </c>
      <c r="B10" s="91" t="n"/>
      <c r="C10" s="91" t="n"/>
      <c r="D10" s="91" t="n"/>
      <c r="E10" s="91" t="n"/>
      <c r="F10" s="91" t="n"/>
      <c r="G10" s="91" t="n"/>
      <c r="H10" s="91" t="n"/>
      <c r="I10" s="91" t="n"/>
      <c r="J10" s="91" t="n"/>
      <c r="K10" s="91" t="n"/>
      <c r="L10" s="91" t="n"/>
      <c r="M10" s="91" t="n"/>
      <c r="N10" s="91" t="n"/>
      <c r="O10" s="91" t="n"/>
      <c r="P10" s="91" t="n"/>
      <c r="Q10" s="91" t="n"/>
      <c r="R10" s="91" t="n"/>
    </row>
    <row r="11" ht="20" customHeight="1">
      <c r="A11" s="43" t="inlineStr">
        <is>
          <t>NBIS</t>
        </is>
      </c>
      <c r="B11" s="44" t="inlineStr">
        <is>
          <t xml:space="preserve">  Nebius Group   |   Risk: High</t>
        </is>
      </c>
    </row>
    <row r="12" ht="282" customHeight="1">
      <c r="A12" s="45" t="n"/>
      <c r="B12" s="46" t="inlineStr">
        <is>
          <t>The leading Neocloud and one of the most interesting
companies in this portfolio. Nebius is a modern
Amazon/Google-style company: it has a primary product
(GPU cloud computing for AI companies that can't get
capacity from AWS/Azure/GCP) AND multiple other revenue
streams that could each become massive independently —
Clickhouse (high-performance analytics database used by
thousands of companies), AV Ride (autonomous vehicle
tech), and others. The neocloud thesis: hyperscalers
are capacity-constrained and have long waitlists for
GPU compute, creating a massive opening for alternative
cloud providers. NBIS is the best-positioned name to
fill that gap. I believe this company could become a
future Hyperscaler in the same way Amazon AWS or Google
Cloud became defining infrastructure businesses. High
conviction, long-term hold — this is the kind of
company you look back on in 10 years and wish you owned
more of.</t>
        </is>
      </c>
    </row>
    <row r="13" ht="8" customHeight="1"/>
    <row r="14" ht="20" customHeight="1">
      <c r="A14" s="43" t="inlineStr">
        <is>
          <t>PLTR</t>
        </is>
      </c>
      <c r="B14" s="44" t="inlineStr">
        <is>
          <t xml:space="preserve">  Palantir Technologies   |   Risk: Med-High</t>
        </is>
      </c>
    </row>
    <row r="15" ht="237" customHeight="1">
      <c r="A15" s="47" t="n"/>
      <c r="B15" s="48" t="inlineStr">
        <is>
          <t>So integral to the entire US government AI stack that
it is effectively a national security asset. Palantir's
software (Gotham for government, Foundry for
enterprise, AIP for AI) is deeply embedded in the
Department of Defense, intelligence agencies, and
dozens of federal programs. You don't rip out Palantir
— agencies build entire workflows on top of it. The AI
Platform (AIP) is now being adopted by commercial
enterprises as well, opening a second growth vector.
The $1.5T defense budget and accelerating government AI
spending is a direct tailwind. Yes, the valuation is
demanding, but for a company this strategically
embedded, the premium is arguably justified. An outlier
name outside the data center trade that belongs in a
long-term AI portfolio.</t>
        </is>
      </c>
    </row>
    <row r="16" ht="8" customHeight="1"/>
  </sheetData>
  <mergeCells count="4">
    <mergeCell ref="A8:G8"/>
    <mergeCell ref="A3:R3"/>
    <mergeCell ref="A2:R2"/>
    <mergeCell ref="A1:R1"/>
  </mergeCells>
  <conditionalFormatting sqref="J5:J6">
    <cfRule type="cellIs" priority="1" operator="greaterThan" dxfId="0">
      <formula>0</formula>
    </cfRule>
    <cfRule type="cellIs" priority="2" operator="lessThan" dxfId="1">
      <formula>0</formula>
    </cfRule>
  </conditionalFormatting>
  <conditionalFormatting sqref="K5:K6">
    <cfRule type="cellIs" priority="1" operator="greaterThan" dxfId="0">
      <formula>0</formula>
    </cfRule>
    <cfRule type="cellIs" priority="2" operator="lessThan" dxfId="1">
      <formula>0</formula>
    </cfRule>
  </conditionalFormatting>
  <conditionalFormatting sqref="R5:R6">
    <cfRule type="expression" priority="5" dxfId="2">
      <formula>$O5&lt;-0.2</formula>
    </cfRule>
  </conditionalFormatting>
  <conditionalFormatting sqref="A5:Q6">
    <cfRule type="expression" priority="6" dxfId="3">
      <formula>$O5&lt;-0.2</formula>
    </cfRule>
  </conditionalFormatting>
  <pageMargins left="0.75" right="0.75" top="1" bottom="1" header="0.5" footer="0.5"/>
</worksheet>
</file>

<file path=xl/worksheets/sheet9.xml><?xml version="1.0" encoding="utf-8"?>
<worksheet xmlns="http://schemas.openxmlformats.org/spreadsheetml/2006/main">
  <sheetPr>
    <tabColor rgb="00595959"/>
    <outlinePr summaryBelow="1" summaryRight="1"/>
    <pageSetUpPr/>
  </sheetPr>
  <dimension ref="A1:R1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92" t="inlineStr">
        <is>
          <t>🛡️ Defense &amp; Drones</t>
        </is>
      </c>
    </row>
    <row r="2" ht="18" customHeight="1">
      <c r="A2" s="25" t="inlineStr">
        <is>
          <t>Defense technology and drone companies — $1.5T defense budget tailwind</t>
        </is>
      </c>
    </row>
    <row r="3" ht="32" customHeight="1">
      <c r="A3" s="3" t="inlineStr">
        <is>
          <t>🟡 Yellow cells = your inputs  |  All other cells auto-calculate  |  📡 Prices fetched: May 07, 2026 at 01:23 AM</t>
        </is>
      </c>
    </row>
    <row r="4">
      <c r="A4" s="93" t="inlineStr">
        <is>
          <t>Ticker</t>
        </is>
      </c>
      <c r="B4" s="93" t="inlineStr">
        <is>
          <t>Company</t>
        </is>
      </c>
      <c r="C4" s="93" t="inlineStr">
        <is>
          <t>Focus / Niche</t>
        </is>
      </c>
      <c r="D4" s="93" t="inlineStr">
        <is>
          <t>Risk</t>
        </is>
      </c>
      <c r="E4" s="93" t="inlineStr">
        <is>
          <t>Current
Price</t>
        </is>
      </c>
      <c r="F4" s="93" t="inlineStr">
        <is>
          <t>Today's
+/- %</t>
        </is>
      </c>
      <c r="G4" s="93" t="inlineStr">
        <is>
          <t>Purchase
Price</t>
        </is>
      </c>
      <c r="H4" s="93" t="inlineStr">
        <is>
          <t>Shares
Owned</t>
        </is>
      </c>
      <c r="I4" s="93" t="inlineStr">
        <is>
          <t>Total
Cost</t>
        </is>
      </c>
      <c r="J4" s="93" t="inlineStr">
        <is>
          <t>Current
Value</t>
        </is>
      </c>
      <c r="K4" s="93" t="inlineStr">
        <is>
          <t>P&amp;L ($)</t>
        </is>
      </c>
      <c r="L4" s="93" t="inlineStr">
        <is>
          <t>P&amp;L (%)</t>
        </is>
      </c>
      <c r="M4" s="93" t="inlineStr">
        <is>
          <t>52W
High</t>
        </is>
      </c>
      <c r="N4" s="93" t="inlineStr">
        <is>
          <t>52W
Low</t>
        </is>
      </c>
      <c r="O4" s="93" t="inlineStr">
        <is>
          <t>% from
52W High</t>
        </is>
      </c>
      <c r="P4" s="93" t="inlineStr">
        <is>
          <t>Analyst
Target</t>
        </is>
      </c>
      <c r="Q4" s="93" t="inlineStr">
        <is>
          <t>Upside to
Target</t>
        </is>
      </c>
      <c r="R4" s="93" t="inlineStr">
        <is>
          <t>Price
Alert</t>
        </is>
      </c>
    </row>
    <row r="5">
      <c r="A5" s="27" t="inlineStr">
        <is>
          <t>ONDS</t>
        </is>
      </c>
      <c r="B5" s="10" t="inlineStr">
        <is>
          <t>Ondas Holdings</t>
        </is>
      </c>
      <c r="C5" s="10" t="inlineStr">
        <is>
          <t>Drones and defense tech</t>
        </is>
      </c>
      <c r="D5" s="9" t="inlineStr">
        <is>
          <t>Very High</t>
        </is>
      </c>
      <c r="E5" s="28" t="n">
        <v>9.34</v>
      </c>
      <c r="F5" s="29" t="n">
        <v>0.6595696920710679</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7" ht="20" customHeight="1">
      <c r="A7" s="94" t="inlineStr">
        <is>
          <t>PORTFOLIO TOTALS</t>
        </is>
      </c>
      <c r="H7" s="95">
        <f>SUM(H5:H5)</f>
        <v/>
      </c>
      <c r="I7" s="95">
        <f>SUM(I5:I5)</f>
        <v/>
      </c>
      <c r="J7" s="95">
        <f>SUM(J5:J5)</f>
        <v/>
      </c>
      <c r="K7" s="96">
        <f>IFERROR(J7/H7,"")</f>
        <v/>
      </c>
    </row>
    <row r="9" ht="22" customHeight="1">
      <c r="A9" s="97" t="inlineStr">
        <is>
          <t>INVESTMENT THESIS &amp; RESEARCH NOTES</t>
        </is>
      </c>
      <c r="B9" s="98" t="n"/>
      <c r="C9" s="98" t="n"/>
      <c r="D9" s="98" t="n"/>
      <c r="E9" s="98" t="n"/>
      <c r="F9" s="98" t="n"/>
      <c r="G9" s="98" t="n"/>
      <c r="H9" s="98" t="n"/>
      <c r="I9" s="98" t="n"/>
      <c r="J9" s="98" t="n"/>
      <c r="K9" s="98" t="n"/>
      <c r="L9" s="98" t="n"/>
      <c r="M9" s="98" t="n"/>
      <c r="N9" s="98" t="n"/>
      <c r="O9" s="98" t="n"/>
      <c r="P9" s="98" t="n"/>
      <c r="Q9" s="98" t="n"/>
      <c r="R9" s="98" t="n"/>
    </row>
    <row r="10" ht="20" customHeight="1">
      <c r="A10" s="43" t="inlineStr">
        <is>
          <t>ONDS</t>
        </is>
      </c>
      <c r="B10" s="44" t="inlineStr">
        <is>
          <t xml:space="preserve">  Ondas Holdings   |   Risk: Very High</t>
        </is>
      </c>
    </row>
    <row r="11" ht="282" customHeight="1">
      <c r="A11" s="45" t="n"/>
      <c r="B11" s="46" t="inlineStr">
        <is>
          <t>Drones and defense tech — very speculative but with a
massive catalyst behind it. The US government just
announced a $1.5 trillion defense budget with $56
billion going specifically to drones and counter-drones
through the DAWG (Drone and Autonomous Warfare Group)
program. Ondas is one of the few small-cap companies
with actual drone technology, recent acquisitions in
the space, and partnerships that position them to
compete for these contracts. Their March 2026
acquisitions and partnerships were specifically
designed to make them a stronger DAWG program
competitor. This is not a guaranteed win — it's a very
speculative bet on a small company winning government
contracts in a highly competitive space. But if they
win even a small slice of the $56B drone budget, the
upside from current levels is enormous. Size it
appropriately — this could go to zero or it could
5-10x.</t>
        </is>
      </c>
    </row>
    <row r="12" ht="8" customHeight="1"/>
  </sheetData>
  <mergeCells count="4">
    <mergeCell ref="A3:R3"/>
    <mergeCell ref="A2:R2"/>
    <mergeCell ref="A1:R1"/>
    <mergeCell ref="A7:G7"/>
  </mergeCells>
  <conditionalFormatting sqref="J5">
    <cfRule type="cellIs" priority="1" operator="greaterThan" dxfId="0">
      <formula>0</formula>
    </cfRule>
    <cfRule type="cellIs" priority="2" operator="lessThan" dxfId="1">
      <formula>0</formula>
    </cfRule>
  </conditionalFormatting>
  <conditionalFormatting sqref="K5">
    <cfRule type="cellIs" priority="1" operator="greaterThan" dxfId="0">
      <formula>0</formula>
    </cfRule>
    <cfRule type="cellIs" priority="2" operator="lessThan" dxfId="1">
      <formula>0</formula>
    </cfRule>
  </conditionalFormatting>
  <conditionalFormatting sqref="R5">
    <cfRule type="expression" priority="5" dxfId="2">
      <formula>$O5&lt;-0.2</formula>
    </cfRule>
  </conditionalFormatting>
  <conditionalFormatting sqref="A5:Q5">
    <cfRule type="expression" priority="6" dxfId="3">
      <formula>$O5&lt;-0.2</formula>
    </cfRule>
  </conditionalFormatting>
  <pageMargins left="0.75" right="0.75" top="1" bottom="1" header="0.5" footer="0.5"/>
</worksheet>
</file>

<file path=xl/worksheets/sheet10.xml><?xml version="1.0" encoding="utf-8"?>
<worksheet xmlns="http://schemas.openxmlformats.org/spreadsheetml/2006/main">
  <sheetPr>
    <tabColor rgb="00002060"/>
    <outlinePr summaryBelow="1" summaryRight="1"/>
    <pageSetUpPr/>
  </sheetPr>
  <dimension ref="A1:R1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99" t="inlineStr">
        <is>
          <t>🚀 Space Economy</t>
        </is>
      </c>
    </row>
    <row r="2" ht="18" customHeight="1">
      <c r="A2" s="25" t="inlineStr">
        <is>
          <t>Space infrastructure — long-duration compounder with SpaceX IPO catalyst</t>
        </is>
      </c>
    </row>
    <row r="3" ht="32" customHeight="1">
      <c r="A3" s="3" t="inlineStr">
        <is>
          <t>🟡 Yellow cells = your inputs  |  All other cells auto-calculate  |  📡 Prices fetched: May 07, 2026 at 01:23 AM</t>
        </is>
      </c>
    </row>
    <row r="4">
      <c r="A4" s="100" t="inlineStr">
        <is>
          <t>Ticker</t>
        </is>
      </c>
      <c r="B4" s="100" t="inlineStr">
        <is>
          <t>Company</t>
        </is>
      </c>
      <c r="C4" s="100" t="inlineStr">
        <is>
          <t>Focus / Niche</t>
        </is>
      </c>
      <c r="D4" s="100" t="inlineStr">
        <is>
          <t>Risk</t>
        </is>
      </c>
      <c r="E4" s="100" t="inlineStr">
        <is>
          <t>Current
Price</t>
        </is>
      </c>
      <c r="F4" s="100" t="inlineStr">
        <is>
          <t>Today's
+/- %</t>
        </is>
      </c>
      <c r="G4" s="100" t="inlineStr">
        <is>
          <t>Purchase
Price</t>
        </is>
      </c>
      <c r="H4" s="100" t="inlineStr">
        <is>
          <t>Shares
Owned</t>
        </is>
      </c>
      <c r="I4" s="100" t="inlineStr">
        <is>
          <t>Total
Cost</t>
        </is>
      </c>
      <c r="J4" s="100" t="inlineStr">
        <is>
          <t>Current
Value</t>
        </is>
      </c>
      <c r="K4" s="100" t="inlineStr">
        <is>
          <t>P&amp;L ($)</t>
        </is>
      </c>
      <c r="L4" s="100" t="inlineStr">
        <is>
          <t>P&amp;L (%)</t>
        </is>
      </c>
      <c r="M4" s="100" t="inlineStr">
        <is>
          <t>52W
High</t>
        </is>
      </c>
      <c r="N4" s="100" t="inlineStr">
        <is>
          <t>52W
Low</t>
        </is>
      </c>
      <c r="O4" s="100" t="inlineStr">
        <is>
          <t>% from
52W High</t>
        </is>
      </c>
      <c r="P4" s="100" t="inlineStr">
        <is>
          <t>Analyst
Target</t>
        </is>
      </c>
      <c r="Q4" s="100" t="inlineStr">
        <is>
          <t>Upside to
Target</t>
        </is>
      </c>
      <c r="R4" s="100" t="inlineStr">
        <is>
          <t>Price
Alert</t>
        </is>
      </c>
    </row>
    <row r="5">
      <c r="A5" s="27" t="inlineStr">
        <is>
          <t>RKLB</t>
        </is>
      </c>
      <c r="B5" s="10" t="inlineStr">
        <is>
          <t>Rocket Lab USA</t>
        </is>
      </c>
      <c r="C5" s="10" t="inlineStr">
        <is>
          <t>Space economy &amp; launch infrastructure</t>
        </is>
      </c>
      <c r="D5" s="9" t="inlineStr">
        <is>
          <t>High</t>
        </is>
      </c>
      <c r="E5" s="28" t="n">
        <v>84.65000000000001</v>
      </c>
      <c r="F5" s="29" t="n">
        <v>7.875623201069081</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7" ht="20" customHeight="1">
      <c r="A7" s="101" t="inlineStr">
        <is>
          <t>PORTFOLIO TOTALS</t>
        </is>
      </c>
      <c r="H7" s="102">
        <f>SUM(H5:H5)</f>
        <v/>
      </c>
      <c r="I7" s="102">
        <f>SUM(I5:I5)</f>
        <v/>
      </c>
      <c r="J7" s="102">
        <f>SUM(J5:J5)</f>
        <v/>
      </c>
      <c r="K7" s="103">
        <f>IFERROR(J7/H7,"")</f>
        <v/>
      </c>
    </row>
    <row r="9" ht="22" customHeight="1">
      <c r="A9" s="104" t="inlineStr">
        <is>
          <t>INVESTMENT THESIS &amp; RESEARCH NOTES</t>
        </is>
      </c>
      <c r="B9" s="105" t="n"/>
      <c r="C9" s="105" t="n"/>
      <c r="D9" s="105" t="n"/>
      <c r="E9" s="105" t="n"/>
      <c r="F9" s="105" t="n"/>
      <c r="G9" s="105" t="n"/>
      <c r="H9" s="105" t="n"/>
      <c r="I9" s="105" t="n"/>
      <c r="J9" s="105" t="n"/>
      <c r="K9" s="105" t="n"/>
      <c r="L9" s="105" t="n"/>
      <c r="M9" s="105" t="n"/>
      <c r="N9" s="105" t="n"/>
      <c r="O9" s="105" t="n"/>
      <c r="P9" s="105" t="n"/>
      <c r="Q9" s="105" t="n"/>
      <c r="R9" s="105" t="n"/>
    </row>
    <row r="10" ht="20" customHeight="1">
      <c r="A10" s="43" t="inlineStr">
        <is>
          <t>RKLB</t>
        </is>
      </c>
      <c r="B10" s="44" t="inlineStr">
        <is>
          <t xml:space="preserve">  Rocket Lab USA   |   Risk: High</t>
        </is>
      </c>
    </row>
    <row r="11" ht="282" customHeight="1">
      <c r="A11" s="45" t="n"/>
      <c r="B11" s="46" t="inlineStr">
        <is>
          <t>Space economy and space infrastructure — huge future
TAM over the next decade and beyond. Rocket Lab is the
second most active launch company in the world (after
SpaceX) and is the only credible alternative for small
and medium satellite launches. Their Electron rocket
has an exceptional launch record, and the larger
Neutron rocket (in development) is designed to compete
with SpaceX's Falcon 9 for medium payloads. The CEO
(Peter Beck) is brilliant and has consistently
delivered on technical milestones. Near-term catalyst:
the SpaceX IPO (expected June 2026) will drive massive
media attention to the space economy, and RKLB will
benefit as the most investable public proxy. Longer
term, Rocket Lab is building a vertically integrated
space company (satellites, components, software,
launch) which gives them multiple revenue streams.
Speculative but with massive compounding upside if they
execute over the next 5-10 years.</t>
        </is>
      </c>
    </row>
    <row r="12" ht="8" customHeight="1"/>
  </sheetData>
  <mergeCells count="4">
    <mergeCell ref="A3:R3"/>
    <mergeCell ref="A2:R2"/>
    <mergeCell ref="A1:R1"/>
    <mergeCell ref="A7:G7"/>
  </mergeCells>
  <conditionalFormatting sqref="J5">
    <cfRule type="cellIs" priority="1" operator="greaterThan" dxfId="0">
      <formula>0</formula>
    </cfRule>
    <cfRule type="cellIs" priority="2" operator="lessThan" dxfId="1">
      <formula>0</formula>
    </cfRule>
  </conditionalFormatting>
  <conditionalFormatting sqref="K5">
    <cfRule type="cellIs" priority="1" operator="greaterThan" dxfId="0">
      <formula>0</formula>
    </cfRule>
    <cfRule type="cellIs" priority="2" operator="lessThan" dxfId="1">
      <formula>0</formula>
    </cfRule>
  </conditionalFormatting>
  <conditionalFormatting sqref="R5">
    <cfRule type="expression" priority="5" dxfId="2">
      <formula>$O5&lt;-0.2</formula>
    </cfRule>
  </conditionalFormatting>
  <conditionalFormatting sqref="A5:Q5">
    <cfRule type="expression" priority="6" dxfId="3">
      <formula>$O5&lt;-0.2</formula>
    </cfRule>
  </conditionalFormatting>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R15"/>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106" t="inlineStr">
        <is>
          <t>🔭 Long Term Watchlist</t>
        </is>
      </c>
    </row>
    <row r="2" ht="18" customHeight="1">
      <c r="A2" s="25" t="inlineStr">
        <is>
          <t>Long-term investment research candidates under active evaluation</t>
        </is>
      </c>
    </row>
    <row r="3" ht="32" customHeight="1">
      <c r="A3" s="3" t="inlineStr">
        <is>
          <t>🟡 Yellow cells = your inputs  |  All other cells auto-calculate  |  📡 Prices fetched: May 07, 2026 at 01:23 AM</t>
        </is>
      </c>
    </row>
    <row r="4">
      <c r="A4" s="107" t="inlineStr">
        <is>
          <t>Ticker</t>
        </is>
      </c>
      <c r="B4" s="107" t="inlineStr">
        <is>
          <t>Company</t>
        </is>
      </c>
      <c r="C4" s="107" t="inlineStr">
        <is>
          <t>Focus / Niche</t>
        </is>
      </c>
      <c r="D4" s="107" t="inlineStr">
        <is>
          <t>Risk</t>
        </is>
      </c>
      <c r="E4" s="107" t="inlineStr">
        <is>
          <t>Current
Price</t>
        </is>
      </c>
      <c r="F4" s="107" t="inlineStr">
        <is>
          <t>Today's
+/- %</t>
        </is>
      </c>
      <c r="G4" s="107" t="inlineStr">
        <is>
          <t>Purchase
Price</t>
        </is>
      </c>
      <c r="H4" s="107" t="inlineStr">
        <is>
          <t>Shares
Owned</t>
        </is>
      </c>
      <c r="I4" s="107" t="inlineStr">
        <is>
          <t>Total
Cost</t>
        </is>
      </c>
      <c r="J4" s="107" t="inlineStr">
        <is>
          <t>Current
Value</t>
        </is>
      </c>
      <c r="K4" s="107" t="inlineStr">
        <is>
          <t>P&amp;L ($)</t>
        </is>
      </c>
      <c r="L4" s="107" t="inlineStr">
        <is>
          <t>P&amp;L (%)</t>
        </is>
      </c>
      <c r="M4" s="107" t="inlineStr">
        <is>
          <t>52W
High</t>
        </is>
      </c>
      <c r="N4" s="107" t="inlineStr">
        <is>
          <t>52W
Low</t>
        </is>
      </c>
      <c r="O4" s="107" t="inlineStr">
        <is>
          <t>% from
52W High</t>
        </is>
      </c>
      <c r="P4" s="107" t="inlineStr">
        <is>
          <t>Analyst
Target</t>
        </is>
      </c>
      <c r="Q4" s="107" t="inlineStr">
        <is>
          <t>Upside to
Target</t>
        </is>
      </c>
      <c r="R4" s="107" t="inlineStr">
        <is>
          <t>Price
Alert</t>
        </is>
      </c>
    </row>
    <row r="5">
      <c r="A5" s="27" t="inlineStr">
        <is>
          <t>RBRK</t>
        </is>
      </c>
      <c r="B5" s="10" t="inlineStr">
        <is>
          <t>Rubrik Inc</t>
        </is>
      </c>
      <c r="C5" s="10" t="inlineStr">
        <is>
          <t>Cybersecurity, data management</t>
        </is>
      </c>
      <c r="D5" s="9" t="inlineStr">
        <is>
          <t>Med-High</t>
        </is>
      </c>
      <c r="E5" s="28" t="n">
        <v>57.78</v>
      </c>
      <c r="F5" s="29" t="n">
        <v>0.4665116477114699</v>
      </c>
      <c r="G5" s="28" t="n">
        <v>0</v>
      </c>
      <c r="H5" s="30" t="n">
        <v>0</v>
      </c>
      <c r="I5" s="31">
        <f>G5*H5</f>
        <v/>
      </c>
      <c r="J5" s="31">
        <f>E5*H5</f>
        <v/>
      </c>
      <c r="K5" s="31">
        <f>J5-I5</f>
        <v/>
      </c>
      <c r="L5" s="32">
        <f>IFERROR(K5/I5,"")</f>
        <v/>
      </c>
      <c r="M5" s="28" t="n">
        <v>0</v>
      </c>
      <c r="N5" s="28" t="n">
        <v>0</v>
      </c>
      <c r="O5" s="32">
        <f>IFERROR(E5/M5-1,"")</f>
        <v/>
      </c>
      <c r="P5" s="28" t="n">
        <v>0</v>
      </c>
      <c r="Q5" s="32">
        <f>IFERROR(P5/E5-1,"")</f>
        <v/>
      </c>
      <c r="R5" s="33">
        <f>IF(AND(M5&gt;0,E5&gt;0,O5&lt;-0.2),"▼  BUY ZONE  (-20%+ off high)","")</f>
        <v/>
      </c>
    </row>
    <row r="6">
      <c r="A6" s="34" t="inlineStr">
        <is>
          <t>NVO</t>
        </is>
      </c>
      <c r="B6" s="7" t="inlineStr">
        <is>
          <t>Novo Nordisk</t>
        </is>
      </c>
      <c r="C6" s="7" t="inlineStr">
        <is>
          <t>GLP-1 drugs, diabetes &amp; obesity</t>
        </is>
      </c>
      <c r="D6" s="6" t="inlineStr">
        <is>
          <t>Medium</t>
        </is>
      </c>
      <c r="E6" s="28" t="n">
        <v>45.76</v>
      </c>
      <c r="F6" s="29" t="n">
        <v>1.238934339675222</v>
      </c>
      <c r="G6" s="28" t="n">
        <v>0</v>
      </c>
      <c r="H6" s="30" t="n">
        <v>0</v>
      </c>
      <c r="I6" s="35">
        <f>G6*H6</f>
        <v/>
      </c>
      <c r="J6" s="35">
        <f>E6*H6</f>
        <v/>
      </c>
      <c r="K6" s="35">
        <f>J6-I6</f>
        <v/>
      </c>
      <c r="L6" s="36">
        <f>IFERROR(K6/I6,"")</f>
        <v/>
      </c>
      <c r="M6" s="28" t="n">
        <v>0</v>
      </c>
      <c r="N6" s="28" t="n">
        <v>0</v>
      </c>
      <c r="O6" s="36">
        <f>IFERROR(E6/M6-1,"")</f>
        <v/>
      </c>
      <c r="P6" s="28" t="n">
        <v>0</v>
      </c>
      <c r="Q6" s="36">
        <f>IFERROR(P6/E6-1,"")</f>
        <v/>
      </c>
      <c r="R6" s="37">
        <f>IF(AND(M6&gt;0,E6&gt;0,O6&lt;-0.2),"▼  BUY ZONE  (-20%+ off high)","")</f>
        <v/>
      </c>
    </row>
    <row r="8" ht="20" customHeight="1">
      <c r="A8" s="108" t="inlineStr">
        <is>
          <t>PORTFOLIO TOTALS</t>
        </is>
      </c>
      <c r="H8" s="109">
        <f>SUM(H5:H6)</f>
        <v/>
      </c>
      <c r="I8" s="109">
        <f>SUM(I5:I6)</f>
        <v/>
      </c>
      <c r="J8" s="109">
        <f>SUM(J5:J6)</f>
        <v/>
      </c>
      <c r="K8" s="110">
        <f>IFERROR(J8/H8,"")</f>
        <v/>
      </c>
    </row>
    <row r="10" ht="22" customHeight="1">
      <c r="A10" s="111" t="inlineStr">
        <is>
          <t>INVESTMENT THESIS &amp; RESEARCH NOTES</t>
        </is>
      </c>
      <c r="B10" s="112" t="n"/>
      <c r="C10" s="112" t="n"/>
      <c r="D10" s="112" t="n"/>
      <c r="E10" s="112" t="n"/>
      <c r="F10" s="112" t="n"/>
      <c r="G10" s="112" t="n"/>
      <c r="H10" s="112" t="n"/>
      <c r="I10" s="112" t="n"/>
      <c r="J10" s="112" t="n"/>
      <c r="K10" s="112" t="n"/>
      <c r="L10" s="112" t="n"/>
      <c r="M10" s="112" t="n"/>
      <c r="N10" s="112" t="n"/>
      <c r="O10" s="112" t="n"/>
      <c r="P10" s="112" t="n"/>
      <c r="Q10" s="112" t="n"/>
      <c r="R10" s="112" t="n"/>
    </row>
    <row r="11" ht="20" customHeight="1">
      <c r="A11" s="43" t="inlineStr">
        <is>
          <t>RBRK</t>
        </is>
      </c>
      <c r="B11" s="44" t="inlineStr">
        <is>
          <t xml:space="preserve">  Rubrik Inc   |   Risk: Med-High</t>
        </is>
      </c>
    </row>
    <row r="12" ht="222" customHeight="1">
      <c r="A12" s="45" t="n"/>
      <c r="B12" s="46" t="inlineStr">
        <is>
          <t>Under active long-term evaluation. Rubrik is a
cybersecurity and data management company focused on
data resilience — protecting enterprise data from
ransomware, ensuring recoverability, and managing data
across hybrid cloud environments. As AI adoption
accelerates, the volume and value of enterprise data
explodes, making data protection and recovery
increasingly critical. Rubrik has a subscription-based
revenue model (good for predictability) and is growing
fast. The risk: the cybersecurity market is crowded and
competitive, and the valuation already prices in
significant growth. Watch for: revenue acceleration,
margin improvement, and any signs of customer
concentration. Add on weakness.</t>
        </is>
      </c>
    </row>
    <row r="13" ht="8" customHeight="1"/>
    <row r="14" ht="20" customHeight="1">
      <c r="A14" s="43" t="inlineStr">
        <is>
          <t>NVO</t>
        </is>
      </c>
      <c r="B14" s="44" t="inlineStr">
        <is>
          <t xml:space="preserve">  Novo Nordisk   |   Risk: Medium</t>
        </is>
      </c>
    </row>
    <row r="15" ht="237" customHeight="1">
      <c r="A15" s="47" t="n"/>
      <c r="B15" s="48" t="inlineStr">
        <is>
          <t>Under active long-term evaluation. Novo Nordisk is the
global leader in GLP-1 drugs (Ozempic, Wegovy) for
diabetes and obesity. The obesity drug market is
potentially the largest pharmaceutical market ever —
hundreds of millions of people globally are candidates
for GLP-1 treatment, and early data suggests these
drugs also reduce cardiovascular events, sleep apnea,
and other conditions beyond weight loss. Novo has the
manufacturing scale, the brand recognition, and the
clinical data to dominate this market for years. The
stock has pulled back significantly from its highs as
competition from Eli Lilly (Mounjaro/Zepbound) has
intensified — which creates a potentially attractive
entry point. A long-term compounder in healthcare,
completely uncorrelated to the AI trade.</t>
        </is>
      </c>
    </row>
    <row r="16" ht="8" customHeight="1"/>
  </sheetData>
  <mergeCells count="4">
    <mergeCell ref="A8:G8"/>
    <mergeCell ref="A3:R3"/>
    <mergeCell ref="A2:R2"/>
    <mergeCell ref="A1:R1"/>
  </mergeCells>
  <conditionalFormatting sqref="J5:J6">
    <cfRule type="cellIs" priority="1" operator="greaterThan" dxfId="0">
      <formula>0</formula>
    </cfRule>
    <cfRule type="cellIs" priority="2" operator="lessThan" dxfId="1">
      <formula>0</formula>
    </cfRule>
  </conditionalFormatting>
  <conditionalFormatting sqref="K5:K6">
    <cfRule type="cellIs" priority="1" operator="greaterThan" dxfId="0">
      <formula>0</formula>
    </cfRule>
    <cfRule type="cellIs" priority="2" operator="lessThan" dxfId="1">
      <formula>0</formula>
    </cfRule>
  </conditionalFormatting>
  <conditionalFormatting sqref="R5:R6">
    <cfRule type="expression" priority="5" dxfId="2">
      <formula>$O5&lt;-0.2</formula>
    </cfRule>
  </conditionalFormatting>
  <conditionalFormatting sqref="A5:Q6">
    <cfRule type="expression" priority="6" dxfId="3">
      <formula>$O5&lt;-0.2</formula>
    </cfRule>
  </conditionalFormatting>
  <pageMargins left="0.75" right="0.75" top="1" bottom="1" header="0.5" footer="0.5"/>
</worksheet>
</file>

<file path=xl/worksheets/sheet12.xml><?xml version="1.0" encoding="utf-8"?>
<worksheet xmlns="http://schemas.openxmlformats.org/spreadsheetml/2006/main">
  <sheetPr>
    <tabColor rgb="001B2A4A"/>
    <outlinePr summaryBelow="1" summaryRight="1"/>
    <pageSetUpPr/>
  </sheetPr>
  <dimension ref="A1:G20"/>
  <sheetViews>
    <sheetView workbookViewId="0">
      <selection activeCell="A1" sqref="A1"/>
    </sheetView>
  </sheetViews>
  <sheetFormatPr baseColWidth="8" defaultRowHeight="15"/>
  <cols>
    <col width="22" customWidth="1" min="1" max="1"/>
    <col width="80" customWidth="1" min="2" max="2"/>
  </cols>
  <sheetData>
    <row r="1" ht="30" customHeight="1">
      <c r="A1" s="113" t="inlineStr">
        <is>
          <t>📝 RESEARCH NOTES &amp; INVESTMENT THESIS</t>
        </is>
      </c>
    </row>
    <row r="2" ht="35" customHeight="1">
      <c r="A2" s="114" t="inlineStr">
        <is>
          <t>401k To-Do</t>
        </is>
      </c>
      <c r="B2" s="23" t="inlineStr">
        <is>
          <t>• Transfer 401k from Accrue (Now Vestwell) → Charles Schwab
• Transfer 401k from Vanguard (1-800-523-1188) → Charles Schwab</t>
        </is>
      </c>
    </row>
    <row r="3" ht="20" customHeight="1">
      <c r="A3" s="115" t="inlineStr">
        <is>
          <t>Savings Account</t>
        </is>
      </c>
      <c r="B3" s="23" t="inlineStr">
        <is>
          <t>• Open Savings Account with Capital One (for holding taxes)</t>
        </is>
      </c>
    </row>
    <row r="4" ht="20" customHeight="1">
      <c r="A4" s="114" t="inlineStr">
        <is>
          <t>Research Tools</t>
        </is>
      </c>
      <c r="B4" s="23" t="inlineStr">
        <is>
          <t>• Learn how to use 'Unusual Whales' website — watch YouTube tutorials</t>
        </is>
      </c>
    </row>
    <row r="5" ht="20" customHeight="1">
      <c r="A5" s="115" t="inlineStr">
        <is>
          <t>Quantum Thesis</t>
        </is>
      </c>
      <c r="B5" s="23" t="inlineStr">
        <is>
          <t>Next run will be of quantum. Buy IONQ, RGTI, and QBTS. Easy 10× within 2 years.</t>
        </is>
      </c>
    </row>
    <row r="6" ht="20" customHeight="1">
      <c r="A6" s="114" t="inlineStr">
        <is>
          <t>NVTS</t>
        </is>
      </c>
      <c r="B6" s="23" t="inlineStr">
        <is>
          <t>Navitas Semiconductor — GaN power chips. AI data centers need radically more efficient power delivery. NVDA parallel: picks-and-shovels for compute growth. High-risk bet on next-gen power architecture shift.</t>
        </is>
      </c>
    </row>
    <row r="7" ht="20" customHeight="1">
      <c r="A7" s="115" t="inlineStr">
        <is>
          <t>AEHR</t>
        </is>
      </c>
      <c r="B7" s="23" t="inlineStr">
        <is>
          <t>AEHR Test Systems — Semiconductor burn-in and test equipment. AI chips require more advanced testing at scale. More chips → more testing bottleneck demand. Classic shovels in a gold rush setup.</t>
        </is>
      </c>
    </row>
    <row r="8" ht="20" customHeight="1">
      <c r="A8" s="114" t="inlineStr">
        <is>
          <t>CRDO</t>
        </is>
      </c>
      <c r="B8" s="23" t="inlineStr">
        <is>
          <t>Credo Technology — High-speed connectivity / SerDes for AI data centers. GPUs don't matter if data can't move between them. Direct exposure to AI cluster networking buildout. One of the cleanest AI infrastructure picks-and-shovels names.</t>
        </is>
      </c>
    </row>
    <row r="9" ht="20" customHeight="1">
      <c r="A9" s="115" t="inlineStr">
        <is>
          <t>ALGM</t>
        </is>
      </c>
      <c r="B9" s="23" t="inlineStr">
        <is>
          <t>Allegro MicroSystems — Power &amp; sensing semiconductors. Electrification + AI hardware power efficiency. Steady but still early in AI rerating narrative. More of a quiet compounder than hype stock.</t>
        </is>
      </c>
    </row>
    <row r="10" ht="20" customHeight="1">
      <c r="A10" s="114" t="inlineStr">
        <is>
          <t>HIMX</t>
        </is>
      </c>
      <c r="B10" s="23" t="inlineStr">
        <is>
          <t>Himax Technologies — Display drivers + AR/AI vision chips. Exposure to AI edge devices + optics. Often overlooked ADR with cyclical breakout behavior. Higher volatility, but historically rerates fast on cycles.</t>
        </is>
      </c>
    </row>
    <row r="11" ht="20" customHeight="1">
      <c r="A11" s="115" t="inlineStr">
        <is>
          <t>MTSI</t>
        </is>
      </c>
      <c r="B11" s="23" t="inlineStr">
        <is>
          <t>MACOM — RF, microwave, high-speed analog chips. AI datacenter interconnect + telecom backbone. Beneficiary of long-term bandwidth expansion trend. Less hype, more industrial AI backbone exposure.</t>
        </is>
      </c>
    </row>
    <row r="12" ht="20" customHeight="1">
      <c r="A12" s="114" t="inlineStr">
        <is>
          <t>AEVA</t>
        </is>
      </c>
      <c r="B12" s="23" t="inlineStr">
        <is>
          <t>Aeva Technologies — Lidar + sensing tech. Autonomous systems + robotics long tail. Still early commercialization phase. Pure asymmetric bet: low probability, high upside.</t>
        </is>
      </c>
    </row>
    <row r="13" ht="20" customHeight="1">
      <c r="A13" s="115" t="inlineStr">
        <is>
          <t>AI Infrastructure</t>
        </is>
      </c>
      <c r="B13" s="23" t="inlineStr">
        <is>
          <t>The AI trade is shifting down stack: Memory Names | Photonics &amp; Optics | CPU Makers (INTC, AMD, ARM, NVDA) | Actual Builders &amp; Materials (CAT, FIX, POWL) | Cooling Companies (VRT, FIX) | Power Generation &amp; Grid (GEV, BE, PWR)</t>
        </is>
      </c>
    </row>
    <row r="14" ht="20" customHeight="1">
      <c r="A14" s="114" t="inlineStr">
        <is>
          <t>LITE</t>
        </is>
      </c>
      <c r="B14" s="23" t="inlineStr">
        <is>
          <t>Lumentum — King of Photonics. Could moonshot. Critical infrastructure for AI data movement.</t>
        </is>
      </c>
    </row>
    <row r="15" ht="20" customHeight="1">
      <c r="A15" s="115" t="inlineStr">
        <is>
          <t>OKLO</t>
        </is>
      </c>
      <c r="B15" s="23" t="inlineStr">
        <is>
          <t>Nuclear SMRs and Nuclear Fuel Waste. Huge moonshot potential but big regulatory and execution risk. Worth a small percentage of portfolio because of its massive potential.</t>
        </is>
      </c>
    </row>
    <row r="16" ht="20" customHeight="1">
      <c r="A16" s="114" t="inlineStr">
        <is>
          <t>NBIS</t>
        </is>
      </c>
      <c r="B16" s="23" t="inlineStr">
        <is>
          <t>Nebius Group — Leading Neocloud that also owns Clickhouse and AV Ride. This is a modern day Amazon or Google style company — main product plus several other revenue streams that could be massive in the future. I think this will be a future Hyperscaler like GOOGL, Amazon, META.</t>
        </is>
      </c>
    </row>
    <row r="17" ht="20" customHeight="1">
      <c r="A17" s="115" t="inlineStr">
        <is>
          <t>PLTR</t>
        </is>
      </c>
      <c r="B17" s="23" t="inlineStr">
        <is>
          <t>Palantir — AI Software. So integral to the entire government AI stack and is not going anywhere soon. Outlier outside of the data center trade.</t>
        </is>
      </c>
    </row>
    <row r="18" ht="20" customHeight="1">
      <c r="A18" s="114" t="inlineStr">
        <is>
          <t>ONDS</t>
        </is>
      </c>
      <c r="B18" s="23" t="inlineStr">
        <is>
          <t>Ondas Holdings — Drones and defense tech. Government just announced a new $1.5 Trillion defense budget with $56 Billion going specifically to drones and counter-drones through the DAWG Program. Very speculative but best chance to scale after their recent acquisitions and partnerships made in March 2026.</t>
        </is>
      </c>
    </row>
    <row r="19" ht="20" customHeight="1">
      <c r="A19" s="115" t="inlineStr">
        <is>
          <t>RKLB</t>
        </is>
      </c>
      <c r="B19" s="23" t="inlineStr">
        <is>
          <t>Rocket Lab — Space Economy and Space Infrastructure. Huge future potential TAM over the next decade or two. Speculative for sure but huge upside potential that will compound over time if they can execute. Brilliant CEO. Will run into the SpaceX IPO in June in the near term.</t>
        </is>
      </c>
    </row>
    <row r="20" ht="20" customHeight="1">
      <c r="A20" s="114" t="inlineStr">
        <is>
          <t>Recommended Portfolio</t>
        </is>
      </c>
      <c r="B20" s="23" t="inlineStr">
        <is>
          <t>LRCX (stability) | DRAM ETF | LITE (photonics moonshot) | NVDA (stability) | AVGO (stability) | FIX or POWL or CAT (pick one) | GEV (stability) | BE (hydrogen moonshot) | OKLO (nuclear moonshot, small %) | NBIS (future hyperscaler)</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2026-05-07T01:23:11Z</dcterms:created>
  <dcterms:modified xsi:type="dcterms:W3CDTF">2026-05-07T01:23:11Z</dcterms:modified>
</cp:coreProperties>
</file>