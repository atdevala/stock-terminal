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Research Notes" sheetId="11" state="visible" r:id="rId11"/>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5">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8">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2" borderId="1" applyAlignment="1" pivotButton="0" quotePrefix="0" xfId="0">
      <alignment horizontal="center" vertical="center" wrapText="1"/>
    </xf>
    <xf numFmtId="0" fontId="0" fillId="2" borderId="1" pivotButton="0" quotePrefix="0" xfId="0"/>
    <xf numFmtId="0" fontId="15" fillId="3" borderId="0" applyAlignment="1" pivotButton="0" quotePrefix="0" xfId="0">
      <alignment horizontal="left" vertical="center" wrapText="1"/>
    </xf>
    <xf numFmtId="0" fontId="16" fillId="7" borderId="0" applyAlignment="1" pivotButton="0" quotePrefix="0" xfId="0">
      <alignment horizontal="left" vertical="center" wrapText="1"/>
    </xf>
    <xf numFmtId="0" fontId="17" fillId="6" borderId="2" applyAlignment="1" pivotButton="0" quotePrefix="0" xfId="0">
      <alignment horizontal="left" vertical="top" wrapText="1"/>
    </xf>
    <xf numFmtId="0" fontId="18" fillId="8" borderId="0" applyAlignment="1" pivotButton="0" quotePrefix="0" xfId="0">
      <alignment horizontal="center" vertical="center" wrapText="1"/>
    </xf>
    <xf numFmtId="0" fontId="19" fillId="7" borderId="0" applyAlignment="1" pivotButton="0" quotePrefix="0" xfId="0">
      <alignment horizontal="left" vertical="center" wrapText="1"/>
    </xf>
    <xf numFmtId="0" fontId="20"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1"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1"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2" fillId="7" borderId="0" applyAlignment="1" pivotButton="0" quotePrefix="0" xfId="0">
      <alignment horizontal="center" vertical="center"/>
    </xf>
    <xf numFmtId="0" fontId="22" fillId="7" borderId="0" applyAlignment="1" pivotButton="0" quotePrefix="0" xfId="0">
      <alignment horizontal="left" vertical="center"/>
    </xf>
    <xf numFmtId="0" fontId="0" fillId="5" borderId="0" pivotButton="0" quotePrefix="0" xfId="0"/>
    <xf numFmtId="0" fontId="23" fillId="5" borderId="0" applyAlignment="1" pivotButton="0" quotePrefix="0" xfId="0">
      <alignment horizontal="left" vertical="top" wrapText="1"/>
    </xf>
    <xf numFmtId="0" fontId="0" fillId="6" borderId="0" pivotButton="0" quotePrefix="0" xfId="0"/>
    <xf numFmtId="0" fontId="23" fillId="6" borderId="0" applyAlignment="1" pivotButton="0" quotePrefix="0" xfId="0">
      <alignment horizontal="left" vertical="top" wrapText="1"/>
    </xf>
    <xf numFmtId="0" fontId="18" fillId="10" borderId="0" applyAlignment="1" pivotButton="0" quotePrefix="0" xfId="0">
      <alignment horizontal="center" vertical="center" wrapText="1"/>
    </xf>
    <xf numFmtId="0" fontId="20"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8" fillId="12" borderId="0" applyAlignment="1" pivotButton="0" quotePrefix="0" xfId="0">
      <alignment horizontal="center" vertical="center" wrapText="1"/>
    </xf>
    <xf numFmtId="0" fontId="20"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8" fillId="13" borderId="0" applyAlignment="1" pivotButton="0" quotePrefix="0" xfId="0">
      <alignment horizontal="center" vertical="center" wrapText="1"/>
    </xf>
    <xf numFmtId="0" fontId="20"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8" fillId="9" borderId="0" applyAlignment="1" pivotButton="0" quotePrefix="0" xfId="0">
      <alignment horizontal="center" vertical="center" wrapText="1"/>
    </xf>
    <xf numFmtId="0" fontId="20"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8" fillId="14" borderId="0" applyAlignment="1" pivotButton="0" quotePrefix="0" xfId="0">
      <alignment horizontal="center" vertical="center" wrapText="1"/>
    </xf>
    <xf numFmtId="0" fontId="20"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8" fillId="15" borderId="0" applyAlignment="1" pivotButton="0" quotePrefix="0" xfId="0">
      <alignment horizontal="center" vertical="center" wrapText="1"/>
    </xf>
    <xf numFmtId="0" fontId="20"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8" fillId="16" borderId="0" applyAlignment="1" pivotButton="0" quotePrefix="0" xfId="0">
      <alignment horizontal="center" vertical="center" wrapText="1"/>
    </xf>
    <xf numFmtId="0" fontId="20"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8" fillId="17" borderId="0" applyAlignment="1" pivotButton="0" quotePrefix="0" xfId="0">
      <alignment horizontal="center" vertical="center" wrapText="1"/>
    </xf>
    <xf numFmtId="0" fontId="20"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24" fillId="2" borderId="0" applyAlignment="1" pivotButton="0" quotePrefix="0" xfId="0">
      <alignment horizontal="center" vertical="center" wrapText="1"/>
    </xf>
    <xf numFmtId="0" fontId="16" fillId="7" borderId="2" applyAlignment="1" pivotButton="0" quotePrefix="0" xfId="0">
      <alignment horizontal="left" vertical="top" wrapText="1"/>
    </xf>
    <xf numFmtId="0" fontId="16"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3"/>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03:38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3</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6" ht="24" customHeight="1">
      <c r="A16" s="18" t="inlineStr">
        <is>
          <t>GRAND TOTAL — ALL CATEGORIES</t>
        </is>
      </c>
      <c r="B16" s="19" t="n"/>
      <c r="C16" s="19" t="n"/>
      <c r="D16" s="19" t="n"/>
      <c r="E16" s="19" t="n"/>
      <c r="F16" s="19" t="n"/>
      <c r="G16" s="19" t="n"/>
      <c r="H16" s="19" t="n"/>
    </row>
    <row r="19" ht="22" customHeight="1">
      <c r="A19" s="20" t="inlineStr">
        <is>
          <t>📌  KEY RESEARCH NOTES &amp; THESIS</t>
        </is>
      </c>
    </row>
    <row r="20" ht="18" customHeight="1">
      <c r="A20" s="21" t="inlineStr">
        <is>
          <t>To-Do Actions</t>
        </is>
      </c>
    </row>
    <row r="21" ht="60" customHeight="1">
      <c r="A21" s="22" t="inlineStr">
        <is>
          <t>• Transfer 401k from Accrue/Vestwell → Charles Schwab
• Transfer 401k from Vanguard → Charles Schwab
• Open Capital One Savings Account (for holding taxes)
• Learn Unusual Whales website (watch YouTube tutorials)</t>
        </is>
      </c>
    </row>
    <row r="22"/>
    <row r="23"/>
    <row r="24" ht="18" customHeight="1">
      <c r="A24" s="21" t="inlineStr">
        <is>
          <t>AI Infrastructure Thesis</t>
        </is>
      </c>
    </row>
    <row r="25" ht="60" customHeight="1">
      <c r="A25" s="22"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6"/>
    <row r="27"/>
    <row r="28" ht="18" customHeight="1">
      <c r="A28" s="21" t="inlineStr">
        <is>
          <t>What Connects Small-Cap AI Names</t>
        </is>
      </c>
    </row>
    <row r="29" ht="60" customHeight="1">
      <c r="A29" s="22"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0"/>
    <row r="31"/>
    <row r="32" ht="18" customHeight="1">
      <c r="A32" s="21" t="inlineStr">
        <is>
          <t>Recommended Core Portfolio Mix</t>
        </is>
      </c>
    </row>
    <row r="33" ht="60" customHeight="1">
      <c r="A33" s="22"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4"/>
    <row r="35"/>
    <row r="36" ht="18" customHeight="1">
      <c r="A36" s="21" t="inlineStr">
        <is>
          <t>Quantum Run Note</t>
        </is>
      </c>
    </row>
    <row r="37" ht="60" customHeight="1">
      <c r="A37" s="22" t="inlineStr">
        <is>
          <t>Next run will be quantum. Buy IONQ, RGTI, and QBTS. Easy 10× within 2 years.</t>
        </is>
      </c>
    </row>
    <row r="38"/>
    <row r="39"/>
    <row r="40" ht="18" customHeight="1">
      <c r="A40" s="21" t="inlineStr">
        <is>
          <t>Three Outliers Outside Data Center Trade</t>
        </is>
      </c>
    </row>
    <row r="41" ht="60" customHeight="1">
      <c r="A41" s="22" t="inlineStr">
        <is>
          <t>PLTR — AI Software. Integral to entire government AI stack.
ONDS — Drones &amp; Defense. $1.5T defense budget, $56B specifically to drones via DAWG Program.
RKLB — Space Economy. Huge future TAM. SpaceX IPO in June is a near-term catalyst.</t>
        </is>
      </c>
    </row>
    <row r="42"/>
    <row r="43"/>
  </sheetData>
  <mergeCells count="17">
    <mergeCell ref="A25:H27"/>
    <mergeCell ref="A1:P1"/>
    <mergeCell ref="A20:H20"/>
    <mergeCell ref="A24:H24"/>
    <mergeCell ref="A29:H31"/>
    <mergeCell ref="A33:H35"/>
    <mergeCell ref="A37:H39"/>
    <mergeCell ref="A28:H28"/>
    <mergeCell ref="A40:H40"/>
    <mergeCell ref="A41:H43"/>
    <mergeCell ref="A19:H19"/>
    <mergeCell ref="A36:H36"/>
    <mergeCell ref="A16:D16"/>
    <mergeCell ref="A3:P3"/>
    <mergeCell ref="A32:H32"/>
    <mergeCell ref="A21:H23"/>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3" t="inlineStr">
        <is>
          <t>⚛️ Quantum Computing</t>
        </is>
      </c>
    </row>
    <row r="2" ht="18" customHeight="1">
      <c r="A2" s="24" t="inlineStr">
        <is>
          <t>High-risk quantum plays — potential 10× returns within 2 years</t>
        </is>
      </c>
    </row>
    <row r="3" ht="32" customHeight="1">
      <c r="A3" s="3" t="inlineStr">
        <is>
          <t>🟡 Yellow cells = your inputs  |  All other cells auto-calculate  |  📡 Prices fetched: May 07, 2026 at 03:38 AM</t>
        </is>
      </c>
    </row>
    <row r="4">
      <c r="A4" s="25" t="inlineStr">
        <is>
          <t>Ticker</t>
        </is>
      </c>
      <c r="B4" s="25" t="inlineStr">
        <is>
          <t>Company</t>
        </is>
      </c>
      <c r="C4" s="25" t="inlineStr">
        <is>
          <t>Focus / Niche</t>
        </is>
      </c>
      <c r="D4" s="25" t="inlineStr">
        <is>
          <t>Risk</t>
        </is>
      </c>
      <c r="E4" s="25" t="inlineStr">
        <is>
          <t>Current
Price</t>
        </is>
      </c>
      <c r="F4" s="25" t="inlineStr">
        <is>
          <t>Today's
+/- %</t>
        </is>
      </c>
      <c r="G4" s="25" t="inlineStr">
        <is>
          <t>Purchase
Price</t>
        </is>
      </c>
      <c r="H4" s="25" t="inlineStr">
        <is>
          <t>Shares
Owned</t>
        </is>
      </c>
      <c r="I4" s="25" t="inlineStr">
        <is>
          <t>Total
Cost</t>
        </is>
      </c>
      <c r="J4" s="25" t="inlineStr">
        <is>
          <t>Current
Value</t>
        </is>
      </c>
      <c r="K4" s="25" t="inlineStr">
        <is>
          <t>P&amp;L ($)</t>
        </is>
      </c>
      <c r="L4" s="25" t="inlineStr">
        <is>
          <t>P&amp;L (%)</t>
        </is>
      </c>
      <c r="M4" s="25" t="inlineStr">
        <is>
          <t>52W
High</t>
        </is>
      </c>
      <c r="N4" s="25" t="inlineStr">
        <is>
          <t>52W
Low</t>
        </is>
      </c>
      <c r="O4" s="25" t="inlineStr">
        <is>
          <t>% from
52W High</t>
        </is>
      </c>
      <c r="P4" s="25" t="inlineStr">
        <is>
          <t>Analyst
Target</t>
        </is>
      </c>
      <c r="Q4" s="25" t="inlineStr">
        <is>
          <t>Upside to
Target</t>
        </is>
      </c>
      <c r="R4" s="25" t="inlineStr">
        <is>
          <t>Price
Alert</t>
        </is>
      </c>
    </row>
    <row r="5">
      <c r="A5" s="26" t="inlineStr">
        <is>
          <t>IONQ</t>
        </is>
      </c>
      <c r="B5" s="10" t="inlineStr">
        <is>
          <t>IonQ Inc</t>
        </is>
      </c>
      <c r="C5" s="10" t="inlineStr">
        <is>
          <t>Quantum computing hardware &amp; software</t>
        </is>
      </c>
      <c r="D5" s="9" t="inlineStr">
        <is>
          <t>Very High</t>
        </is>
      </c>
      <c r="E5" s="27" t="n">
        <v>52.57</v>
      </c>
      <c r="F5" s="28" t="n">
        <v>9.429641329775643</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RGTI</t>
        </is>
      </c>
      <c r="B6" s="7" t="inlineStr">
        <is>
          <t>Rigetti Computing</t>
        </is>
      </c>
      <c r="C6" s="7" t="inlineStr">
        <is>
          <t>Quantum computing chips &amp; systems</t>
        </is>
      </c>
      <c r="D6" s="6" t="inlineStr">
        <is>
          <t>Very High</t>
        </is>
      </c>
      <c r="E6" s="27" t="n">
        <v>20.09</v>
      </c>
      <c r="F6" s="28" t="n">
        <v>10.38522273522322</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QBTS</t>
        </is>
      </c>
      <c r="B7" s="10" t="inlineStr">
        <is>
          <t>D-Wave Quantum</t>
        </is>
      </c>
      <c r="C7" s="10" t="inlineStr">
        <is>
          <t>Quantum annealing systems</t>
        </is>
      </c>
      <c r="D7" s="9" t="inlineStr">
        <is>
          <t>Very High</t>
        </is>
      </c>
      <c r="E7" s="27" t="n">
        <v>23.83</v>
      </c>
      <c r="F7" s="28" t="n">
        <v>11.19925302709312</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9" ht="20" customHeight="1">
      <c r="A9" s="37" t="inlineStr">
        <is>
          <t>PORTFOLIO TOTALS</t>
        </is>
      </c>
      <c r="H9" s="38">
        <f>SUM(H5:H7)</f>
        <v/>
      </c>
      <c r="I9" s="38">
        <f>SUM(I5:I7)</f>
        <v/>
      </c>
      <c r="J9" s="38">
        <f>SUM(J5:J7)</f>
        <v/>
      </c>
      <c r="K9" s="39">
        <f>IFERROR(J9/H9,"")</f>
        <v/>
      </c>
    </row>
    <row r="11" ht="22" customHeight="1">
      <c r="A11" s="40" t="inlineStr">
        <is>
          <t>INVESTMENT THESIS &amp; RESEARCH NOTES</t>
        </is>
      </c>
      <c r="B11" s="41" t="n"/>
      <c r="C11" s="41" t="n"/>
      <c r="D11" s="41" t="n"/>
      <c r="E11" s="41" t="n"/>
      <c r="F11" s="41" t="n"/>
      <c r="G11" s="41" t="n"/>
      <c r="H11" s="41" t="n"/>
      <c r="I11" s="41" t="n"/>
      <c r="J11" s="41" t="n"/>
      <c r="K11" s="41" t="n"/>
      <c r="L11" s="41" t="n"/>
      <c r="M11" s="41" t="n"/>
      <c r="N11" s="41" t="n"/>
      <c r="O11" s="41" t="n"/>
      <c r="P11" s="41" t="n"/>
      <c r="Q11" s="41" t="n"/>
      <c r="R11" s="41" t="n"/>
    </row>
    <row r="12" ht="20" customHeight="1">
      <c r="A12" s="42" t="inlineStr">
        <is>
          <t>IONQ</t>
        </is>
      </c>
      <c r="B12" s="43" t="inlineStr">
        <is>
          <t xml:space="preserve">  IonQ Inc   |   Risk: Very High</t>
        </is>
      </c>
    </row>
    <row r="13" ht="177" customHeight="1">
      <c r="A13" s="44" t="n"/>
      <c r="B13" s="45"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2" t="inlineStr">
        <is>
          <t>RGTI</t>
        </is>
      </c>
      <c r="B15" s="43" t="inlineStr">
        <is>
          <t xml:space="preserve">  Rigetti Computing   |   Risk: Very High</t>
        </is>
      </c>
    </row>
    <row r="16" ht="177" customHeight="1">
      <c r="A16" s="46" t="n"/>
      <c r="B16" s="47"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2" t="inlineStr">
        <is>
          <t>QBTS</t>
        </is>
      </c>
      <c r="B18" s="43" t="inlineStr">
        <is>
          <t xml:space="preserve">  D-Wave Quantum   |   Risk: Very High</t>
        </is>
      </c>
    </row>
    <row r="19" ht="177" customHeight="1">
      <c r="A19" s="44" t="n"/>
      <c r="B19" s="45"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8" t="inlineStr">
        <is>
          <t>🖥️ Semiconductors &amp; Compute</t>
        </is>
      </c>
    </row>
    <row r="2" ht="18" customHeight="1">
      <c r="A2" s="24" t="inlineStr">
        <is>
          <t>Core semiconductor &amp; compute names — stability + steady compounders</t>
        </is>
      </c>
    </row>
    <row r="3" ht="32" customHeight="1">
      <c r="A3" s="3" t="inlineStr">
        <is>
          <t>🟡 Yellow cells = your inputs  |  All other cells auto-calculate  |  📡 Prices fetched: May 07, 2026 at 03:38 AM</t>
        </is>
      </c>
    </row>
    <row r="4">
      <c r="A4" s="49" t="inlineStr">
        <is>
          <t>Ticker</t>
        </is>
      </c>
      <c r="B4" s="49" t="inlineStr">
        <is>
          <t>Company</t>
        </is>
      </c>
      <c r="C4" s="49" t="inlineStr">
        <is>
          <t>Focus / Niche</t>
        </is>
      </c>
      <c r="D4" s="49" t="inlineStr">
        <is>
          <t>Risk</t>
        </is>
      </c>
      <c r="E4" s="49" t="inlineStr">
        <is>
          <t>Current
Price</t>
        </is>
      </c>
      <c r="F4" s="49" t="inlineStr">
        <is>
          <t>Today's
+/- %</t>
        </is>
      </c>
      <c r="G4" s="49" t="inlineStr">
        <is>
          <t>Purchase
Price</t>
        </is>
      </c>
      <c r="H4" s="49" t="inlineStr">
        <is>
          <t>Shares
Owned</t>
        </is>
      </c>
      <c r="I4" s="49" t="inlineStr">
        <is>
          <t>Total
Cost</t>
        </is>
      </c>
      <c r="J4" s="49" t="inlineStr">
        <is>
          <t>Current
Value</t>
        </is>
      </c>
      <c r="K4" s="49" t="inlineStr">
        <is>
          <t>P&amp;L ($)</t>
        </is>
      </c>
      <c r="L4" s="49" t="inlineStr">
        <is>
          <t>P&amp;L (%)</t>
        </is>
      </c>
      <c r="M4" s="49" t="inlineStr">
        <is>
          <t>52W
High</t>
        </is>
      </c>
      <c r="N4" s="49" t="inlineStr">
        <is>
          <t>52W
Low</t>
        </is>
      </c>
      <c r="O4" s="49" t="inlineStr">
        <is>
          <t>% from
52W High</t>
        </is>
      </c>
      <c r="P4" s="49" t="inlineStr">
        <is>
          <t>Analyst
Target</t>
        </is>
      </c>
      <c r="Q4" s="49" t="inlineStr">
        <is>
          <t>Upside to
Target</t>
        </is>
      </c>
      <c r="R4" s="49" t="inlineStr">
        <is>
          <t>Price
Alert</t>
        </is>
      </c>
    </row>
    <row r="5">
      <c r="A5" s="26" t="inlineStr">
        <is>
          <t>NVDA</t>
        </is>
      </c>
      <c r="B5" s="10" t="inlineStr">
        <is>
          <t>NVIDIA Corp</t>
        </is>
      </c>
      <c r="C5" s="10" t="inlineStr">
        <is>
          <t>GPUs, AI compute</t>
        </is>
      </c>
      <c r="D5" s="9" t="inlineStr">
        <is>
          <t>Medium</t>
        </is>
      </c>
      <c r="E5" s="27" t="n">
        <v>207.83</v>
      </c>
      <c r="F5" s="28" t="n">
        <v>5.272809613927784</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AVGO</t>
        </is>
      </c>
      <c r="B6" s="7" t="inlineStr">
        <is>
          <t>Broadcom Inc</t>
        </is>
      </c>
      <c r="C6" s="7" t="inlineStr">
        <is>
          <t>Semiconductors, networking</t>
        </is>
      </c>
      <c r="D6" s="6" t="inlineStr">
        <is>
          <t>Medium</t>
        </is>
      </c>
      <c r="E6" s="27" t="n">
        <v>425.44</v>
      </c>
      <c r="F6" s="50" t="n">
        <v>-1.518517953378183</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LRCX</t>
        </is>
      </c>
      <c r="B7" s="10" t="inlineStr">
        <is>
          <t>Lam Research</t>
        </is>
      </c>
      <c r="C7" s="10" t="inlineStr">
        <is>
          <t>Semiconductor equipment, DRAM</t>
        </is>
      </c>
      <c r="D7" s="9" t="inlineStr">
        <is>
          <t>Medium</t>
        </is>
      </c>
      <c r="E7" s="27" t="n">
        <v>297.17</v>
      </c>
      <c r="F7" s="28" t="n">
        <v>6.196624174582565</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AMD</t>
        </is>
      </c>
      <c r="B8" s="7" t="inlineStr">
        <is>
          <t>Advanced Micro Devices</t>
        </is>
      </c>
      <c r="C8" s="7" t="inlineStr">
        <is>
          <t>CPUs, GPUs, AI chips</t>
        </is>
      </c>
      <c r="D8" s="6" t="inlineStr">
        <is>
          <t>Medium</t>
        </is>
      </c>
      <c r="E8" s="27" t="n">
        <v>421.39</v>
      </c>
      <c r="F8" s="28" t="n">
        <v>1.7850276928593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9">
      <c r="A9" s="26" t="inlineStr">
        <is>
          <t>INTC</t>
        </is>
      </c>
      <c r="B9" s="10" t="inlineStr">
        <is>
          <t>Intel Corp</t>
        </is>
      </c>
      <c r="C9" s="10" t="inlineStr">
        <is>
          <t>CPUs, AI accelerators</t>
        </is>
      </c>
      <c r="D9" s="9" t="inlineStr">
        <is>
          <t>Med-High</t>
        </is>
      </c>
      <c r="E9" s="27" t="n">
        <v>113.01</v>
      </c>
      <c r="F9" s="50" t="n">
        <v>-0.2999540042077861</v>
      </c>
      <c r="G9" s="27" t="n">
        <v>0</v>
      </c>
      <c r="H9" s="29" t="n">
        <v>0</v>
      </c>
      <c r="I9" s="30">
        <f>G9*H9</f>
        <v/>
      </c>
      <c r="J9" s="30">
        <f>E9*H9</f>
        <v/>
      </c>
      <c r="K9" s="30">
        <f>J9-I9</f>
        <v/>
      </c>
      <c r="L9" s="31">
        <f>IFERROR(K9/I9,"")</f>
        <v/>
      </c>
      <c r="M9" s="27" t="n">
        <v>0</v>
      </c>
      <c r="N9" s="27" t="n">
        <v>0</v>
      </c>
      <c r="O9" s="31">
        <f>IFERROR(E9/M9-1,"")</f>
        <v/>
      </c>
      <c r="P9" s="27" t="n">
        <v>0</v>
      </c>
      <c r="Q9" s="31">
        <f>IFERROR(P9/E9-1,"")</f>
        <v/>
      </c>
      <c r="R9" s="32">
        <f>IF(AND(M9&gt;0,E9&gt;0,O9&lt;-0.2),"▼  BUY ZONE  (-20%+ off high)","")</f>
        <v/>
      </c>
    </row>
    <row r="10">
      <c r="A10" s="33" t="inlineStr">
        <is>
          <t>ARM</t>
        </is>
      </c>
      <c r="B10" s="7" t="inlineStr">
        <is>
          <t>Arm Holdings</t>
        </is>
      </c>
      <c r="C10" s="7" t="inlineStr">
        <is>
          <t>Chip architecture licensing</t>
        </is>
      </c>
      <c r="D10" s="6" t="inlineStr">
        <is>
          <t>Medium</t>
        </is>
      </c>
      <c r="E10" s="27" t="n">
        <v>237.3</v>
      </c>
      <c r="F10" s="28" t="n">
        <v>4.893251581027195</v>
      </c>
      <c r="G10" s="27" t="n">
        <v>0</v>
      </c>
      <c r="H10" s="29" t="n">
        <v>0</v>
      </c>
      <c r="I10" s="34">
        <f>G10*H10</f>
        <v/>
      </c>
      <c r="J10" s="34">
        <f>E10*H10</f>
        <v/>
      </c>
      <c r="K10" s="34">
        <f>J10-I10</f>
        <v/>
      </c>
      <c r="L10" s="35">
        <f>IFERROR(K10/I10,"")</f>
        <v/>
      </c>
      <c r="M10" s="27" t="n">
        <v>0</v>
      </c>
      <c r="N10" s="27" t="n">
        <v>0</v>
      </c>
      <c r="O10" s="35">
        <f>IFERROR(E10/M10-1,"")</f>
        <v/>
      </c>
      <c r="P10" s="27" t="n">
        <v>0</v>
      </c>
      <c r="Q10" s="35">
        <f>IFERROR(P10/E10-1,"")</f>
        <v/>
      </c>
      <c r="R10" s="36">
        <f>IF(AND(M10&gt;0,E10&gt;0,O10&lt;-0.2),"▼  BUY ZONE  (-20%+ off high)","")</f>
        <v/>
      </c>
    </row>
    <row r="12" ht="20" customHeight="1">
      <c r="A12" s="51" t="inlineStr">
        <is>
          <t>PORTFOLIO TOTALS</t>
        </is>
      </c>
      <c r="H12" s="52">
        <f>SUM(H5:H10)</f>
        <v/>
      </c>
      <c r="I12" s="52">
        <f>SUM(I5:I10)</f>
        <v/>
      </c>
      <c r="J12" s="52">
        <f>SUM(J5:J10)</f>
        <v/>
      </c>
      <c r="K12" s="53">
        <f>IFERROR(J12/H12,"")</f>
        <v/>
      </c>
    </row>
    <row r="14" ht="22" customHeight="1">
      <c r="A14" s="54" t="inlineStr">
        <is>
          <t>INVESTMENT THESIS &amp; RESEARCH NOTES</t>
        </is>
      </c>
      <c r="B14" s="55" t="n"/>
      <c r="C14" s="55" t="n"/>
      <c r="D14" s="55" t="n"/>
      <c r="E14" s="55" t="n"/>
      <c r="F14" s="55" t="n"/>
      <c r="G14" s="55" t="n"/>
      <c r="H14" s="55" t="n"/>
      <c r="I14" s="55" t="n"/>
      <c r="J14" s="55" t="n"/>
      <c r="K14" s="55" t="n"/>
      <c r="L14" s="55" t="n"/>
      <c r="M14" s="55" t="n"/>
      <c r="N14" s="55" t="n"/>
      <c r="O14" s="55" t="n"/>
      <c r="P14" s="55" t="n"/>
      <c r="Q14" s="55" t="n"/>
      <c r="R14" s="55" t="n"/>
    </row>
    <row r="15" ht="20" customHeight="1">
      <c r="A15" s="42" t="inlineStr">
        <is>
          <t>NVDA</t>
        </is>
      </c>
      <c r="B15" s="43" t="inlineStr">
        <is>
          <t xml:space="preserve">  NVIDIA Corp   |   Risk: Medium</t>
        </is>
      </c>
    </row>
    <row r="16" ht="177" customHeight="1">
      <c r="A16" s="44" t="n"/>
      <c r="B16" s="45"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2" t="inlineStr">
        <is>
          <t>AVGO</t>
        </is>
      </c>
      <c r="B18" s="43" t="inlineStr">
        <is>
          <t xml:space="preserve">  Broadcom Inc   |   Risk: Medium</t>
        </is>
      </c>
    </row>
    <row r="19" ht="192" customHeight="1">
      <c r="A19" s="46" t="n"/>
      <c r="B19" s="47"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2" t="inlineStr">
        <is>
          <t>LRCX</t>
        </is>
      </c>
      <c r="B21" s="43" t="inlineStr">
        <is>
          <t xml:space="preserve">  Lam Research   |   Risk: Medium</t>
        </is>
      </c>
    </row>
    <row r="22" ht="192" customHeight="1">
      <c r="A22" s="44" t="n"/>
      <c r="B22" s="45"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2" t="inlineStr">
        <is>
          <t>AMD</t>
        </is>
      </c>
      <c r="B24" s="43" t="inlineStr">
        <is>
          <t xml:space="preserve">  Advanced Micro Devices   |   Risk: Medium</t>
        </is>
      </c>
    </row>
    <row r="25" ht="192" customHeight="1">
      <c r="A25" s="46" t="n"/>
      <c r="B25" s="47"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2" t="inlineStr">
        <is>
          <t>INTC</t>
        </is>
      </c>
      <c r="B27" s="43" t="inlineStr">
        <is>
          <t xml:space="preserve">  Intel Corp   |   Risk: Med-High</t>
        </is>
      </c>
    </row>
    <row r="28" ht="222" customHeight="1">
      <c r="A28" s="44" t="n"/>
      <c r="B28" s="45"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2" t="inlineStr">
        <is>
          <t>ARM</t>
        </is>
      </c>
      <c r="B30" s="43" t="inlineStr">
        <is>
          <t xml:space="preserve">  Arm Holdings   |   Risk: Medium</t>
        </is>
      </c>
    </row>
    <row r="31" ht="192" customHeight="1">
      <c r="A31" s="46" t="n"/>
      <c r="B31" s="47"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6" t="inlineStr">
        <is>
          <t>⚙️ AI Picks &amp; Shovels</t>
        </is>
      </c>
    </row>
    <row r="2" ht="18" customHeight="1">
      <c r="A2" s="24" t="inlineStr">
        <is>
          <t>Smaller-cap NVDA-adjacent setups — high risk, asymmetric upside</t>
        </is>
      </c>
    </row>
    <row r="3" ht="32" customHeight="1">
      <c r="A3" s="3" t="inlineStr">
        <is>
          <t>🟡 Yellow cells = your inputs  |  All other cells auto-calculate  |  📡 Prices fetched: May 07, 2026 at 03:38 AM</t>
        </is>
      </c>
    </row>
    <row r="4">
      <c r="A4" s="57" t="inlineStr">
        <is>
          <t>Ticker</t>
        </is>
      </c>
      <c r="B4" s="57" t="inlineStr">
        <is>
          <t>Company</t>
        </is>
      </c>
      <c r="C4" s="57" t="inlineStr">
        <is>
          <t>Focus / Niche</t>
        </is>
      </c>
      <c r="D4" s="57" t="inlineStr">
        <is>
          <t>Risk</t>
        </is>
      </c>
      <c r="E4" s="57" t="inlineStr">
        <is>
          <t>Current
Price</t>
        </is>
      </c>
      <c r="F4" s="57" t="inlineStr">
        <is>
          <t>Today's
+/- %</t>
        </is>
      </c>
      <c r="G4" s="57" t="inlineStr">
        <is>
          <t>Purchase
Price</t>
        </is>
      </c>
      <c r="H4" s="57" t="inlineStr">
        <is>
          <t>Shares
Owned</t>
        </is>
      </c>
      <c r="I4" s="57" t="inlineStr">
        <is>
          <t>Total
Cost</t>
        </is>
      </c>
      <c r="J4" s="57" t="inlineStr">
        <is>
          <t>Current
Value</t>
        </is>
      </c>
      <c r="K4" s="57" t="inlineStr">
        <is>
          <t>P&amp;L ($)</t>
        </is>
      </c>
      <c r="L4" s="57" t="inlineStr">
        <is>
          <t>P&amp;L (%)</t>
        </is>
      </c>
      <c r="M4" s="57" t="inlineStr">
        <is>
          <t>52W
High</t>
        </is>
      </c>
      <c r="N4" s="57" t="inlineStr">
        <is>
          <t>52W
Low</t>
        </is>
      </c>
      <c r="O4" s="57" t="inlineStr">
        <is>
          <t>% from
52W High</t>
        </is>
      </c>
      <c r="P4" s="57" t="inlineStr">
        <is>
          <t>Analyst
Target</t>
        </is>
      </c>
      <c r="Q4" s="57" t="inlineStr">
        <is>
          <t>Upside to
Target</t>
        </is>
      </c>
      <c r="R4" s="57" t="inlineStr">
        <is>
          <t>Price
Alert</t>
        </is>
      </c>
    </row>
    <row r="5">
      <c r="A5" s="26" t="inlineStr">
        <is>
          <t>NVTS</t>
        </is>
      </c>
      <c r="B5" s="10" t="inlineStr">
        <is>
          <t>Navitas Semiconductor</t>
        </is>
      </c>
      <c r="C5" s="10" t="inlineStr">
        <is>
          <t>GaN power chips for AI data centers</t>
        </is>
      </c>
      <c r="D5" s="9" t="inlineStr">
        <is>
          <t>High</t>
        </is>
      </c>
      <c r="E5" s="27" t="n">
        <v>16.68</v>
      </c>
      <c r="F5" s="28" t="n">
        <v>1.27504739025976</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AEHR</t>
        </is>
      </c>
      <c r="B6" s="7" t="inlineStr">
        <is>
          <t>AEHR Test Systems</t>
        </is>
      </c>
      <c r="C6" s="7" t="inlineStr">
        <is>
          <t>Semiconductor burn-in &amp; test equipment</t>
        </is>
      </c>
      <c r="D6" s="6" t="inlineStr">
        <is>
          <t>High</t>
        </is>
      </c>
      <c r="E6" s="27" t="n">
        <v>96.73</v>
      </c>
      <c r="F6" s="28" t="n">
        <v>6.176529155937345</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CRDO</t>
        </is>
      </c>
      <c r="B7" s="10" t="inlineStr">
        <is>
          <t>Credo Technology</t>
        </is>
      </c>
      <c r="C7" s="10" t="inlineStr">
        <is>
          <t>High-speed connectivity / SerDes for AI DCs</t>
        </is>
      </c>
      <c r="D7" s="9" t="inlineStr">
        <is>
          <t>High</t>
        </is>
      </c>
      <c r="E7" s="27" t="n">
        <v>198.29</v>
      </c>
      <c r="F7" s="50" t="n">
        <v>-0.1057968331824622</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ALGM</t>
        </is>
      </c>
      <c r="B8" s="7" t="inlineStr">
        <is>
          <t>Allegro MicroSystems</t>
        </is>
      </c>
      <c r="C8" s="7" t="inlineStr">
        <is>
          <t>Power &amp; sensing semiconductors</t>
        </is>
      </c>
      <c r="D8" s="6" t="inlineStr">
        <is>
          <t>Med-High</t>
        </is>
      </c>
      <c r="E8" s="27" t="n">
        <v>51.37</v>
      </c>
      <c r="F8" s="28" t="n">
        <v>2.7541779403253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9">
      <c r="A9" s="26" t="inlineStr">
        <is>
          <t>HIMX</t>
        </is>
      </c>
      <c r="B9" s="10" t="inlineStr">
        <is>
          <t>Himax Technologies</t>
        </is>
      </c>
      <c r="C9" s="10" t="inlineStr">
        <is>
          <t>Display drivers + AR/AI vision chips</t>
        </is>
      </c>
      <c r="D9" s="9" t="inlineStr">
        <is>
          <t>High</t>
        </is>
      </c>
      <c r="E9" s="27" t="n">
        <v>12.33</v>
      </c>
      <c r="F9" s="50" t="n">
        <v>-0.2830576327856492</v>
      </c>
      <c r="G9" s="27" t="n">
        <v>0</v>
      </c>
      <c r="H9" s="29" t="n">
        <v>0</v>
      </c>
      <c r="I9" s="30">
        <f>G9*H9</f>
        <v/>
      </c>
      <c r="J9" s="30">
        <f>E9*H9</f>
        <v/>
      </c>
      <c r="K9" s="30">
        <f>J9-I9</f>
        <v/>
      </c>
      <c r="L9" s="31">
        <f>IFERROR(K9/I9,"")</f>
        <v/>
      </c>
      <c r="M9" s="27" t="n">
        <v>0</v>
      </c>
      <c r="N9" s="27" t="n">
        <v>0</v>
      </c>
      <c r="O9" s="31">
        <f>IFERROR(E9/M9-1,"")</f>
        <v/>
      </c>
      <c r="P9" s="27" t="n">
        <v>0</v>
      </c>
      <c r="Q9" s="31">
        <f>IFERROR(P9/E9-1,"")</f>
        <v/>
      </c>
      <c r="R9" s="32">
        <f>IF(AND(M9&gt;0,E9&gt;0,O9&lt;-0.2),"▼  BUY ZONE  (-20%+ off high)","")</f>
        <v/>
      </c>
    </row>
    <row r="10">
      <c r="A10" s="33" t="inlineStr">
        <is>
          <t>MTSI</t>
        </is>
      </c>
      <c r="B10" s="7" t="inlineStr">
        <is>
          <t>MACOM Technology</t>
        </is>
      </c>
      <c r="C10" s="7" t="inlineStr">
        <is>
          <t>RF, microwave, high-speed analog chips</t>
        </is>
      </c>
      <c r="D10" s="6" t="inlineStr">
        <is>
          <t>Med-High</t>
        </is>
      </c>
      <c r="E10" s="27" t="n">
        <v>309.81</v>
      </c>
      <c r="F10" s="28" t="n">
        <v>2.75621809571932</v>
      </c>
      <c r="G10" s="27" t="n">
        <v>0</v>
      </c>
      <c r="H10" s="29" t="n">
        <v>0</v>
      </c>
      <c r="I10" s="34">
        <f>G10*H10</f>
        <v/>
      </c>
      <c r="J10" s="34">
        <f>E10*H10</f>
        <v/>
      </c>
      <c r="K10" s="34">
        <f>J10-I10</f>
        <v/>
      </c>
      <c r="L10" s="35">
        <f>IFERROR(K10/I10,"")</f>
        <v/>
      </c>
      <c r="M10" s="27" t="n">
        <v>0</v>
      </c>
      <c r="N10" s="27" t="n">
        <v>0</v>
      </c>
      <c r="O10" s="35">
        <f>IFERROR(E10/M10-1,"")</f>
        <v/>
      </c>
      <c r="P10" s="27" t="n">
        <v>0</v>
      </c>
      <c r="Q10" s="35">
        <f>IFERROR(P10/E10-1,"")</f>
        <v/>
      </c>
      <c r="R10" s="36">
        <f>IF(AND(M10&gt;0,E10&gt;0,O10&lt;-0.2),"▼  BUY ZONE  (-20%+ off high)","")</f>
        <v/>
      </c>
    </row>
    <row r="11">
      <c r="A11" s="26" t="inlineStr">
        <is>
          <t>AEVA</t>
        </is>
      </c>
      <c r="B11" s="10" t="inlineStr">
        <is>
          <t>Aeva Technologies</t>
        </is>
      </c>
      <c r="C11" s="10" t="inlineStr">
        <is>
          <t>Lidar + sensing for autonomous systems</t>
        </is>
      </c>
      <c r="D11" s="9" t="inlineStr">
        <is>
          <t>Very High</t>
        </is>
      </c>
      <c r="E11" s="27" t="n">
        <v>16.57</v>
      </c>
      <c r="F11" s="28" t="n">
        <v>7.110534549607098</v>
      </c>
      <c r="G11" s="27" t="n">
        <v>0</v>
      </c>
      <c r="H11" s="29" t="n">
        <v>0</v>
      </c>
      <c r="I11" s="30">
        <f>G11*H11</f>
        <v/>
      </c>
      <c r="J11" s="30">
        <f>E11*H11</f>
        <v/>
      </c>
      <c r="K11" s="30">
        <f>J11-I11</f>
        <v/>
      </c>
      <c r="L11" s="31">
        <f>IFERROR(K11/I11,"")</f>
        <v/>
      </c>
      <c r="M11" s="27" t="n">
        <v>0</v>
      </c>
      <c r="N11" s="27" t="n">
        <v>0</v>
      </c>
      <c r="O11" s="31">
        <f>IFERROR(E11/M11-1,"")</f>
        <v/>
      </c>
      <c r="P11" s="27" t="n">
        <v>0</v>
      </c>
      <c r="Q11" s="31">
        <f>IFERROR(P11/E11-1,"")</f>
        <v/>
      </c>
      <c r="R11" s="32">
        <f>IF(AND(M11&gt;0,E11&gt;0,O11&lt;-0.2),"▼  BUY ZONE  (-20%+ off high)","")</f>
        <v/>
      </c>
    </row>
    <row r="13" ht="20" customHeight="1">
      <c r="A13" s="58" t="inlineStr">
        <is>
          <t>PORTFOLIO TOTALS</t>
        </is>
      </c>
      <c r="H13" s="59">
        <f>SUM(H5:H11)</f>
        <v/>
      </c>
      <c r="I13" s="59">
        <f>SUM(I5:I11)</f>
        <v/>
      </c>
      <c r="J13" s="59">
        <f>SUM(J5:J11)</f>
        <v/>
      </c>
      <c r="K13" s="60">
        <f>IFERROR(J13/H13,"")</f>
        <v/>
      </c>
    </row>
    <row r="15" ht="22" customHeight="1">
      <c r="A15" s="61" t="inlineStr">
        <is>
          <t>INVESTMENT THESIS &amp; RESEARCH NOTES</t>
        </is>
      </c>
      <c r="B15" s="62" t="n"/>
      <c r="C15" s="62" t="n"/>
      <c r="D15" s="62" t="n"/>
      <c r="E15" s="62" t="n"/>
      <c r="F15" s="62" t="n"/>
      <c r="G15" s="62" t="n"/>
      <c r="H15" s="62" t="n"/>
      <c r="I15" s="62" t="n"/>
      <c r="J15" s="62" t="n"/>
      <c r="K15" s="62" t="n"/>
      <c r="L15" s="62" t="n"/>
      <c r="M15" s="62" t="n"/>
      <c r="N15" s="62" t="n"/>
      <c r="O15" s="62" t="n"/>
      <c r="P15" s="62" t="n"/>
      <c r="Q15" s="62" t="n"/>
      <c r="R15" s="62" t="n"/>
    </row>
    <row r="16" ht="20" customHeight="1">
      <c r="A16" s="42" t="inlineStr">
        <is>
          <t>NVTS</t>
        </is>
      </c>
      <c r="B16" s="43" t="inlineStr">
        <is>
          <t xml:space="preserve">  Navitas Semiconductor   |   Risk: High</t>
        </is>
      </c>
    </row>
    <row r="17" ht="222" customHeight="1">
      <c r="A17" s="44" t="n"/>
      <c r="B17" s="45"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2" t="inlineStr">
        <is>
          <t>AEHR</t>
        </is>
      </c>
      <c r="B19" s="43" t="inlineStr">
        <is>
          <t xml:space="preserve">  AEHR Test Systems   |   Risk: High</t>
        </is>
      </c>
    </row>
    <row r="20" ht="192" customHeight="1">
      <c r="A20" s="46" t="n"/>
      <c r="B20" s="47"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2" t="inlineStr">
        <is>
          <t>CRDO</t>
        </is>
      </c>
      <c r="B22" s="43" t="inlineStr">
        <is>
          <t xml:space="preserve">  Credo Technology   |   Risk: High</t>
        </is>
      </c>
    </row>
    <row r="23" ht="207" customHeight="1">
      <c r="A23" s="44" t="n"/>
      <c r="B23" s="45"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2" t="inlineStr">
        <is>
          <t>ALGM</t>
        </is>
      </c>
      <c r="B25" s="43" t="inlineStr">
        <is>
          <t xml:space="preserve">  Allegro MicroSystems   |   Risk: Med-High</t>
        </is>
      </c>
    </row>
    <row r="26" ht="207" customHeight="1">
      <c r="A26" s="46" t="n"/>
      <c r="B26" s="47"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2" t="inlineStr">
        <is>
          <t>HIMX</t>
        </is>
      </c>
      <c r="B28" s="43" t="inlineStr">
        <is>
          <t xml:space="preserve">  Himax Technologies   |   Risk: High</t>
        </is>
      </c>
    </row>
    <row r="29" ht="207" customHeight="1">
      <c r="A29" s="44" t="n"/>
      <c r="B29" s="45"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2" t="inlineStr">
        <is>
          <t>MTSI</t>
        </is>
      </c>
      <c r="B31" s="43" t="inlineStr">
        <is>
          <t xml:space="preserve">  MACOM Technology   |   Risk: Med-High</t>
        </is>
      </c>
    </row>
    <row r="32" ht="207" customHeight="1">
      <c r="A32" s="46" t="n"/>
      <c r="B32" s="47"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2" t="inlineStr">
        <is>
          <t>AEVA</t>
        </is>
      </c>
      <c r="B34" s="43" t="inlineStr">
        <is>
          <t xml:space="preserve">  Aeva Technologies   |   Risk: Very High</t>
        </is>
      </c>
    </row>
    <row r="35" ht="222" customHeight="1">
      <c r="A35" s="44" t="n"/>
      <c r="B35" s="45"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3" t="inlineStr">
        <is>
          <t>💡 Photonics &amp; Optics</t>
        </is>
      </c>
    </row>
    <row r="2" ht="18" customHeight="1">
      <c r="A2" s="24" t="inlineStr">
        <is>
          <t>Optical networking — key bottleneck in AI data center interconnect</t>
        </is>
      </c>
    </row>
    <row r="3" ht="32" customHeight="1">
      <c r="A3" s="3" t="inlineStr">
        <is>
          <t>🟡 Yellow cells = your inputs  |  All other cells auto-calculate  |  📡 Prices fetched: May 07, 2026 at 03:38 AM</t>
        </is>
      </c>
    </row>
    <row r="4">
      <c r="A4" s="64" t="inlineStr">
        <is>
          <t>Ticker</t>
        </is>
      </c>
      <c r="B4" s="64" t="inlineStr">
        <is>
          <t>Company</t>
        </is>
      </c>
      <c r="C4" s="64" t="inlineStr">
        <is>
          <t>Focus / Niche</t>
        </is>
      </c>
      <c r="D4" s="64" t="inlineStr">
        <is>
          <t>Risk</t>
        </is>
      </c>
      <c r="E4" s="64" t="inlineStr">
        <is>
          <t>Current
Price</t>
        </is>
      </c>
      <c r="F4" s="64" t="inlineStr">
        <is>
          <t>Today's
+/- %</t>
        </is>
      </c>
      <c r="G4" s="64" t="inlineStr">
        <is>
          <t>Purchase
Price</t>
        </is>
      </c>
      <c r="H4" s="64" t="inlineStr">
        <is>
          <t>Shares
Owned</t>
        </is>
      </c>
      <c r="I4" s="64" t="inlineStr">
        <is>
          <t>Total
Cost</t>
        </is>
      </c>
      <c r="J4" s="64" t="inlineStr">
        <is>
          <t>Current
Value</t>
        </is>
      </c>
      <c r="K4" s="64" t="inlineStr">
        <is>
          <t>P&amp;L ($)</t>
        </is>
      </c>
      <c r="L4" s="64" t="inlineStr">
        <is>
          <t>P&amp;L (%)</t>
        </is>
      </c>
      <c r="M4" s="64" t="inlineStr">
        <is>
          <t>52W
High</t>
        </is>
      </c>
      <c r="N4" s="64" t="inlineStr">
        <is>
          <t>52W
Low</t>
        </is>
      </c>
      <c r="O4" s="64" t="inlineStr">
        <is>
          <t>% from
52W High</t>
        </is>
      </c>
      <c r="P4" s="64" t="inlineStr">
        <is>
          <t>Analyst
Target</t>
        </is>
      </c>
      <c r="Q4" s="64" t="inlineStr">
        <is>
          <t>Upside to
Target</t>
        </is>
      </c>
      <c r="R4" s="64" t="inlineStr">
        <is>
          <t>Price
Alert</t>
        </is>
      </c>
    </row>
    <row r="5">
      <c r="A5" s="26" t="inlineStr">
        <is>
          <t>LITE</t>
        </is>
      </c>
      <c r="B5" s="10" t="inlineStr">
        <is>
          <t>Lumentum Holdings</t>
        </is>
      </c>
      <c r="C5" s="10" t="inlineStr">
        <is>
          <t>Photonics, optical components for AI DCs</t>
        </is>
      </c>
      <c r="D5" s="9" t="inlineStr">
        <is>
          <t>High</t>
        </is>
      </c>
      <c r="E5" s="27" t="n">
        <v>944.28</v>
      </c>
      <c r="F5" s="50" t="n">
        <v>-1.642619728464659</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65" t="inlineStr">
        <is>
          <t>PORTFOLIO TOTALS</t>
        </is>
      </c>
      <c r="H7" s="66">
        <f>SUM(H5:H5)</f>
        <v/>
      </c>
      <c r="I7" s="66">
        <f>SUM(I5:I5)</f>
        <v/>
      </c>
      <c r="J7" s="66">
        <f>SUM(J5:J5)</f>
        <v/>
      </c>
      <c r="K7" s="67">
        <f>IFERROR(J7/H7,"")</f>
        <v/>
      </c>
    </row>
    <row r="9" ht="22" customHeight="1">
      <c r="A9" s="68" t="inlineStr">
        <is>
          <t>INVESTMENT THESIS &amp; RESEARCH NOTES</t>
        </is>
      </c>
      <c r="B9" s="69" t="n"/>
      <c r="C9" s="69" t="n"/>
      <c r="D9" s="69" t="n"/>
      <c r="E9" s="69" t="n"/>
      <c r="F9" s="69" t="n"/>
      <c r="G9" s="69" t="n"/>
      <c r="H9" s="69" t="n"/>
      <c r="I9" s="69" t="n"/>
      <c r="J9" s="69" t="n"/>
      <c r="K9" s="69" t="n"/>
      <c r="L9" s="69" t="n"/>
      <c r="M9" s="69" t="n"/>
      <c r="N9" s="69" t="n"/>
      <c r="O9" s="69" t="n"/>
      <c r="P9" s="69" t="n"/>
      <c r="Q9" s="69" t="n"/>
      <c r="R9" s="69" t="n"/>
    </row>
    <row r="10" ht="20" customHeight="1">
      <c r="A10" s="42" t="inlineStr">
        <is>
          <t>LITE</t>
        </is>
      </c>
      <c r="B10" s="43" t="inlineStr">
        <is>
          <t xml:space="preserve">  Lumentum Holdings   |   Risk: High</t>
        </is>
      </c>
    </row>
    <row r="11" ht="237" customHeight="1">
      <c r="A11" s="44" t="n"/>
      <c r="B11" s="45"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0" t="inlineStr">
        <is>
          <t>🏗️ DC Builders &amp; Cooling</t>
        </is>
      </c>
    </row>
    <row r="2" ht="18" customHeight="1">
      <c r="A2" s="24" t="inlineStr">
        <is>
          <t>Builders, materials, and cooling companies powering AI data center construction</t>
        </is>
      </c>
    </row>
    <row r="3" ht="32" customHeight="1">
      <c r="A3" s="3" t="inlineStr">
        <is>
          <t>🟡 Yellow cells = your inputs  |  All other cells auto-calculate  |  📡 Prices fetched: May 07, 2026 at 03:38 AM</t>
        </is>
      </c>
    </row>
    <row r="4">
      <c r="A4" s="71" t="inlineStr">
        <is>
          <t>Ticker</t>
        </is>
      </c>
      <c r="B4" s="71" t="inlineStr">
        <is>
          <t>Company</t>
        </is>
      </c>
      <c r="C4" s="71" t="inlineStr">
        <is>
          <t>Focus / Niche</t>
        </is>
      </c>
      <c r="D4" s="71" t="inlineStr">
        <is>
          <t>Risk</t>
        </is>
      </c>
      <c r="E4" s="71" t="inlineStr">
        <is>
          <t>Current
Price</t>
        </is>
      </c>
      <c r="F4" s="71" t="inlineStr">
        <is>
          <t>Today's
+/- %</t>
        </is>
      </c>
      <c r="G4" s="71" t="inlineStr">
        <is>
          <t>Purchase
Price</t>
        </is>
      </c>
      <c r="H4" s="71" t="inlineStr">
        <is>
          <t>Shares
Owned</t>
        </is>
      </c>
      <c r="I4" s="71" t="inlineStr">
        <is>
          <t>Total
Cost</t>
        </is>
      </c>
      <c r="J4" s="71" t="inlineStr">
        <is>
          <t>Current
Value</t>
        </is>
      </c>
      <c r="K4" s="71" t="inlineStr">
        <is>
          <t>P&amp;L ($)</t>
        </is>
      </c>
      <c r="L4" s="71" t="inlineStr">
        <is>
          <t>P&amp;L (%)</t>
        </is>
      </c>
      <c r="M4" s="71" t="inlineStr">
        <is>
          <t>52W
High</t>
        </is>
      </c>
      <c r="N4" s="71" t="inlineStr">
        <is>
          <t>52W
Low</t>
        </is>
      </c>
      <c r="O4" s="71" t="inlineStr">
        <is>
          <t>% from
52W High</t>
        </is>
      </c>
      <c r="P4" s="71" t="inlineStr">
        <is>
          <t>Analyst
Target</t>
        </is>
      </c>
      <c r="Q4" s="71" t="inlineStr">
        <is>
          <t>Upside to
Target</t>
        </is>
      </c>
      <c r="R4" s="71" t="inlineStr">
        <is>
          <t>Price
Alert</t>
        </is>
      </c>
    </row>
    <row r="5">
      <c r="A5" s="26" t="inlineStr">
        <is>
          <t>CAT</t>
        </is>
      </c>
      <c r="B5" s="10" t="inlineStr">
        <is>
          <t>Caterpillar Inc</t>
        </is>
      </c>
      <c r="C5" s="10" t="inlineStr">
        <is>
          <t>Heavy equipment, construction</t>
        </is>
      </c>
      <c r="D5" s="9" t="inlineStr">
        <is>
          <t>Low-Med</t>
        </is>
      </c>
      <c r="E5" s="27" t="n">
        <v>926.9299999999999</v>
      </c>
      <c r="F5" s="28" t="n">
        <v>1.762031516311836</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FIX</t>
        </is>
      </c>
      <c r="B6" s="7" t="inlineStr">
        <is>
          <t>Comfort Systems USA</t>
        </is>
      </c>
      <c r="C6" s="7" t="inlineStr">
        <is>
          <t>HVAC, mechanical, electrical for DCs</t>
        </is>
      </c>
      <c r="D6" s="6" t="inlineStr">
        <is>
          <t>Medium</t>
        </is>
      </c>
      <c r="E6" s="27" t="n">
        <v>2011.49</v>
      </c>
      <c r="F6" s="28" t="n">
        <v>1.284503883945205</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POWL</t>
        </is>
      </c>
      <c r="B7" s="10" t="inlineStr">
        <is>
          <t>Powell Industries</t>
        </is>
      </c>
      <c r="C7" s="10" t="inlineStr">
        <is>
          <t>Electrical infrastructure for DCs</t>
        </is>
      </c>
      <c r="D7" s="9" t="inlineStr">
        <is>
          <t>Medium</t>
        </is>
      </c>
      <c r="E7" s="27" t="n">
        <v>320.3</v>
      </c>
      <c r="F7" s="28" t="n">
        <v>6.766662597656251</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VRT</t>
        </is>
      </c>
      <c r="B8" s="7" t="inlineStr">
        <is>
          <t>Vertiv Holdings</t>
        </is>
      </c>
      <c r="C8" s="7" t="inlineStr">
        <is>
          <t>Cooling systems for AI data centers</t>
        </is>
      </c>
      <c r="D8" s="6" t="inlineStr">
        <is>
          <t>Medium</t>
        </is>
      </c>
      <c r="E8" s="27" t="n">
        <v>358.92</v>
      </c>
      <c r="F8" s="28" t="n">
        <v>2.939746301010801</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10" ht="20" customHeight="1">
      <c r="A10" s="72" t="inlineStr">
        <is>
          <t>PORTFOLIO TOTALS</t>
        </is>
      </c>
      <c r="H10" s="73">
        <f>SUM(H5:H8)</f>
        <v/>
      </c>
      <c r="I10" s="73">
        <f>SUM(I5:I8)</f>
        <v/>
      </c>
      <c r="J10" s="73">
        <f>SUM(J5:J8)</f>
        <v/>
      </c>
      <c r="K10" s="74">
        <f>IFERROR(J10/H10,"")</f>
        <v/>
      </c>
    </row>
    <row r="12" ht="22" customHeight="1">
      <c r="A12" s="75" t="inlineStr">
        <is>
          <t>INVESTMENT THESIS &amp; RESEARCH NOTES</t>
        </is>
      </c>
      <c r="B12" s="76" t="n"/>
      <c r="C12" s="76" t="n"/>
      <c r="D12" s="76" t="n"/>
      <c r="E12" s="76" t="n"/>
      <c r="F12" s="76" t="n"/>
      <c r="G12" s="76" t="n"/>
      <c r="H12" s="76" t="n"/>
      <c r="I12" s="76" t="n"/>
      <c r="J12" s="76" t="n"/>
      <c r="K12" s="76" t="n"/>
      <c r="L12" s="76" t="n"/>
      <c r="M12" s="76" t="n"/>
      <c r="N12" s="76" t="n"/>
      <c r="O12" s="76" t="n"/>
      <c r="P12" s="76" t="n"/>
      <c r="Q12" s="76" t="n"/>
      <c r="R12" s="76" t="n"/>
    </row>
    <row r="13" ht="20" customHeight="1">
      <c r="A13" s="42" t="inlineStr">
        <is>
          <t>CAT</t>
        </is>
      </c>
      <c r="B13" s="43" t="inlineStr">
        <is>
          <t xml:space="preserve">  Caterpillar Inc   |   Risk: Low-Med</t>
        </is>
      </c>
    </row>
    <row r="14" ht="207" customHeight="1">
      <c r="A14" s="44" t="n"/>
      <c r="B14" s="45"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2" t="inlineStr">
        <is>
          <t>FIX</t>
        </is>
      </c>
      <c r="B16" s="43" t="inlineStr">
        <is>
          <t xml:space="preserve">  Comfort Systems USA   |   Risk: Medium</t>
        </is>
      </c>
    </row>
    <row r="17" ht="207" customHeight="1">
      <c r="A17" s="46" t="n"/>
      <c r="B17" s="47"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2" t="inlineStr">
        <is>
          <t>POWL</t>
        </is>
      </c>
      <c r="B19" s="43" t="inlineStr">
        <is>
          <t xml:space="preserve">  Powell Industries   |   Risk: Medium</t>
        </is>
      </c>
    </row>
    <row r="20" ht="207" customHeight="1">
      <c r="A20" s="44" t="n"/>
      <c r="B20" s="45"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2" t="inlineStr">
        <is>
          <t>VRT</t>
        </is>
      </c>
      <c r="B22" s="43" t="inlineStr">
        <is>
          <t xml:space="preserve">  Vertiv Holdings   |   Risk: Medium</t>
        </is>
      </c>
    </row>
    <row r="23" ht="207" customHeight="1">
      <c r="A23" s="46" t="n"/>
      <c r="B23" s="47"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7" t="inlineStr">
        <is>
          <t>⚡ Power &amp; Energy</t>
        </is>
      </c>
    </row>
    <row r="2" ht="18" customHeight="1">
      <c r="A2" s="24" t="inlineStr">
        <is>
          <t>Power generation, grid maintenance &amp; nuclear energy for the AI buildout</t>
        </is>
      </c>
    </row>
    <row r="3" ht="32" customHeight="1">
      <c r="A3" s="3" t="inlineStr">
        <is>
          <t>🟡 Yellow cells = your inputs  |  All other cells auto-calculate  |  📡 Prices fetched: May 07, 2026 at 03:38 AM</t>
        </is>
      </c>
    </row>
    <row r="4">
      <c r="A4" s="78" t="inlineStr">
        <is>
          <t>Ticker</t>
        </is>
      </c>
      <c r="B4" s="78" t="inlineStr">
        <is>
          <t>Company</t>
        </is>
      </c>
      <c r="C4" s="78" t="inlineStr">
        <is>
          <t>Focus / Niche</t>
        </is>
      </c>
      <c r="D4" s="78" t="inlineStr">
        <is>
          <t>Risk</t>
        </is>
      </c>
      <c r="E4" s="78" t="inlineStr">
        <is>
          <t>Current
Price</t>
        </is>
      </c>
      <c r="F4" s="78" t="inlineStr">
        <is>
          <t>Today's
+/- %</t>
        </is>
      </c>
      <c r="G4" s="78" t="inlineStr">
        <is>
          <t>Purchase
Price</t>
        </is>
      </c>
      <c r="H4" s="78" t="inlineStr">
        <is>
          <t>Shares
Owned</t>
        </is>
      </c>
      <c r="I4" s="78" t="inlineStr">
        <is>
          <t>Total
Cost</t>
        </is>
      </c>
      <c r="J4" s="78" t="inlineStr">
        <is>
          <t>Current
Value</t>
        </is>
      </c>
      <c r="K4" s="78" t="inlineStr">
        <is>
          <t>P&amp;L ($)</t>
        </is>
      </c>
      <c r="L4" s="78" t="inlineStr">
        <is>
          <t>P&amp;L (%)</t>
        </is>
      </c>
      <c r="M4" s="78" t="inlineStr">
        <is>
          <t>52W
High</t>
        </is>
      </c>
      <c r="N4" s="78" t="inlineStr">
        <is>
          <t>52W
Low</t>
        </is>
      </c>
      <c r="O4" s="78" t="inlineStr">
        <is>
          <t>% from
52W High</t>
        </is>
      </c>
      <c r="P4" s="78" t="inlineStr">
        <is>
          <t>Analyst
Target</t>
        </is>
      </c>
      <c r="Q4" s="78" t="inlineStr">
        <is>
          <t>Upside to
Target</t>
        </is>
      </c>
      <c r="R4" s="78" t="inlineStr">
        <is>
          <t>Price
Alert</t>
        </is>
      </c>
    </row>
    <row r="5">
      <c r="A5" s="26" t="inlineStr">
        <is>
          <t>GEV</t>
        </is>
      </c>
      <c r="B5" s="10" t="inlineStr">
        <is>
          <t>GE Vernova</t>
        </is>
      </c>
      <c r="C5" s="10" t="inlineStr">
        <is>
          <t>Power generation &amp; grid equipment</t>
        </is>
      </c>
      <c r="D5" s="9" t="inlineStr">
        <is>
          <t>Medium</t>
        </is>
      </c>
      <c r="E5" s="27" t="n">
        <v>1118.96</v>
      </c>
      <c r="F5" s="28" t="n">
        <v>1.71068781586888</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PWR</t>
        </is>
      </c>
      <c r="B6" s="7" t="inlineStr">
        <is>
          <t>Quanta Services</t>
        </is>
      </c>
      <c r="C6" s="7" t="inlineStr">
        <is>
          <t>Power grid infrastructure &amp; maintenance</t>
        </is>
      </c>
      <c r="D6" s="6" t="inlineStr">
        <is>
          <t>Medium</t>
        </is>
      </c>
      <c r="E6" s="27" t="n">
        <v>785.24</v>
      </c>
      <c r="F6" s="28" t="n">
        <v>1.881307604947841</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BE</t>
        </is>
      </c>
      <c r="B7" s="10" t="inlineStr">
        <is>
          <t>Bloom Energy</t>
        </is>
      </c>
      <c r="C7" s="10" t="inlineStr">
        <is>
          <t>Fuel cell power generation</t>
        </is>
      </c>
      <c r="D7" s="9" t="inlineStr">
        <is>
          <t>High</t>
        </is>
      </c>
      <c r="E7" s="27" t="n">
        <v>285.47</v>
      </c>
      <c r="F7" s="50" t="n">
        <v>-4.067043441964675</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OKLO</t>
        </is>
      </c>
      <c r="B8" s="7" t="inlineStr">
        <is>
          <t>Oklo Inc</t>
        </is>
      </c>
      <c r="C8" s="7" t="inlineStr">
        <is>
          <t>Nuclear SMRs + nuclear fuel waste</t>
        </is>
      </c>
      <c r="D8" s="6" t="inlineStr">
        <is>
          <t>Very High</t>
        </is>
      </c>
      <c r="E8" s="27" t="n">
        <v>79.62</v>
      </c>
      <c r="F8" s="28" t="n">
        <v>17.15715530691883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10" ht="20" customHeight="1">
      <c r="A10" s="79" t="inlineStr">
        <is>
          <t>PORTFOLIO TOTALS</t>
        </is>
      </c>
      <c r="H10" s="80">
        <f>SUM(H5:H8)</f>
        <v/>
      </c>
      <c r="I10" s="80">
        <f>SUM(I5:I8)</f>
        <v/>
      </c>
      <c r="J10" s="80">
        <f>SUM(J5:J8)</f>
        <v/>
      </c>
      <c r="K10" s="81">
        <f>IFERROR(J10/H10,"")</f>
        <v/>
      </c>
    </row>
    <row r="12" ht="22" customHeight="1">
      <c r="A12" s="82" t="inlineStr">
        <is>
          <t>INVESTMENT THESIS &amp; RESEARCH NOTES</t>
        </is>
      </c>
      <c r="B12" s="83" t="n"/>
      <c r="C12" s="83" t="n"/>
      <c r="D12" s="83" t="n"/>
      <c r="E12" s="83" t="n"/>
      <c r="F12" s="83" t="n"/>
      <c r="G12" s="83" t="n"/>
      <c r="H12" s="83" t="n"/>
      <c r="I12" s="83" t="n"/>
      <c r="J12" s="83" t="n"/>
      <c r="K12" s="83" t="n"/>
      <c r="L12" s="83" t="n"/>
      <c r="M12" s="83" t="n"/>
      <c r="N12" s="83" t="n"/>
      <c r="O12" s="83" t="n"/>
      <c r="P12" s="83" t="n"/>
      <c r="Q12" s="83" t="n"/>
      <c r="R12" s="83" t="n"/>
    </row>
    <row r="13" ht="20" customHeight="1">
      <c r="A13" s="42" t="inlineStr">
        <is>
          <t>GEV</t>
        </is>
      </c>
      <c r="B13" s="43" t="inlineStr">
        <is>
          <t xml:space="preserve">  GE Vernova   |   Risk: Medium</t>
        </is>
      </c>
    </row>
    <row r="14" ht="207" customHeight="1">
      <c r="A14" s="44" t="n"/>
      <c r="B14" s="45"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2" t="inlineStr">
        <is>
          <t>PWR</t>
        </is>
      </c>
      <c r="B16" s="43" t="inlineStr">
        <is>
          <t xml:space="preserve">  Quanta Services   |   Risk: Medium</t>
        </is>
      </c>
    </row>
    <row r="17" ht="237" customHeight="1">
      <c r="A17" s="46" t="n"/>
      <c r="B17" s="47"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2" t="inlineStr">
        <is>
          <t>BE</t>
        </is>
      </c>
      <c r="B19" s="43" t="inlineStr">
        <is>
          <t xml:space="preserve">  Bloom Energy   |   Risk: High</t>
        </is>
      </c>
    </row>
    <row r="20" ht="237" customHeight="1">
      <c r="A20" s="44" t="n"/>
      <c r="B20" s="45"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2" t="inlineStr">
        <is>
          <t>OKLO</t>
        </is>
      </c>
      <c r="B22" s="43" t="inlineStr">
        <is>
          <t xml:space="preserve">  Oklo Inc   |   Risk: Very High</t>
        </is>
      </c>
    </row>
    <row r="23" ht="252" customHeight="1">
      <c r="A23" s="46" t="n"/>
      <c r="B23" s="47"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4" t="inlineStr">
        <is>
          <t>☁️ Neoclouds &amp; AI Software</t>
        </is>
      </c>
    </row>
    <row r="2" ht="18" customHeight="1">
      <c r="A2" s="24" t="inlineStr">
        <is>
          <t>Next-gen cloud infrastructure and AI software platforms</t>
        </is>
      </c>
    </row>
    <row r="3" ht="32" customHeight="1">
      <c r="A3" s="3" t="inlineStr">
        <is>
          <t>🟡 Yellow cells = your inputs  |  All other cells auto-calculate  |  📡 Prices fetched: May 07, 2026 at 03:38 AM</t>
        </is>
      </c>
    </row>
    <row r="4">
      <c r="A4" s="85" t="inlineStr">
        <is>
          <t>Ticker</t>
        </is>
      </c>
      <c r="B4" s="85" t="inlineStr">
        <is>
          <t>Company</t>
        </is>
      </c>
      <c r="C4" s="85" t="inlineStr">
        <is>
          <t>Focus / Niche</t>
        </is>
      </c>
      <c r="D4" s="85" t="inlineStr">
        <is>
          <t>Risk</t>
        </is>
      </c>
      <c r="E4" s="85" t="inlineStr">
        <is>
          <t>Current
Price</t>
        </is>
      </c>
      <c r="F4" s="85" t="inlineStr">
        <is>
          <t>Today's
+/- %</t>
        </is>
      </c>
      <c r="G4" s="85" t="inlineStr">
        <is>
          <t>Purchase
Price</t>
        </is>
      </c>
      <c r="H4" s="85" t="inlineStr">
        <is>
          <t>Shares
Owned</t>
        </is>
      </c>
      <c r="I4" s="85" t="inlineStr">
        <is>
          <t>Total
Cost</t>
        </is>
      </c>
      <c r="J4" s="85" t="inlineStr">
        <is>
          <t>Current
Value</t>
        </is>
      </c>
      <c r="K4" s="85" t="inlineStr">
        <is>
          <t>P&amp;L ($)</t>
        </is>
      </c>
      <c r="L4" s="85" t="inlineStr">
        <is>
          <t>P&amp;L (%)</t>
        </is>
      </c>
      <c r="M4" s="85" t="inlineStr">
        <is>
          <t>52W
High</t>
        </is>
      </c>
      <c r="N4" s="85" t="inlineStr">
        <is>
          <t>52W
Low</t>
        </is>
      </c>
      <c r="O4" s="85" t="inlineStr">
        <is>
          <t>% from
52W High</t>
        </is>
      </c>
      <c r="P4" s="85" t="inlineStr">
        <is>
          <t>Analyst
Target</t>
        </is>
      </c>
      <c r="Q4" s="85" t="inlineStr">
        <is>
          <t>Upside to
Target</t>
        </is>
      </c>
      <c r="R4" s="85" t="inlineStr">
        <is>
          <t>Price
Alert</t>
        </is>
      </c>
    </row>
    <row r="5">
      <c r="A5" s="26" t="inlineStr">
        <is>
          <t>NBIS</t>
        </is>
      </c>
      <c r="B5" s="10" t="inlineStr">
        <is>
          <t>Nebius Group</t>
        </is>
      </c>
      <c r="C5" s="10" t="inlineStr">
        <is>
          <t>Neocloud + Clickhouse + AV Ride</t>
        </is>
      </c>
      <c r="D5" s="9" t="inlineStr">
        <is>
          <t>High</t>
        </is>
      </c>
      <c r="E5" s="27" t="n">
        <v>195.09</v>
      </c>
      <c r="F5" s="28" t="n">
        <v>10.84973796863014</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PLTR</t>
        </is>
      </c>
      <c r="B6" s="7" t="inlineStr">
        <is>
          <t>Palantir Technologies</t>
        </is>
      </c>
      <c r="C6" s="7" t="inlineStr">
        <is>
          <t>AI software, government AI stack</t>
        </is>
      </c>
      <c r="D6" s="6" t="inlineStr">
        <is>
          <t>Med-High</t>
        </is>
      </c>
      <c r="E6" s="27" t="n">
        <v>133.79</v>
      </c>
      <c r="F6" s="50" t="n">
        <v>-1.101424241474859</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RBRK</t>
        </is>
      </c>
      <c r="B7" s="10" t="inlineStr">
        <is>
          <t>Rubrik Inc</t>
        </is>
      </c>
      <c r="C7" s="10" t="inlineStr">
        <is>
          <t>Cybersecurity, data management</t>
        </is>
      </c>
      <c r="D7" s="9" t="inlineStr">
        <is>
          <t>Med-High</t>
        </is>
      </c>
      <c r="E7" s="27" t="n">
        <v>57.78</v>
      </c>
      <c r="F7" s="28" t="n">
        <v>0.4665116477114699</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9" ht="20" customHeight="1">
      <c r="A9" s="86" t="inlineStr">
        <is>
          <t>PORTFOLIO TOTALS</t>
        </is>
      </c>
      <c r="H9" s="87">
        <f>SUM(H5:H7)</f>
        <v/>
      </c>
      <c r="I9" s="87">
        <f>SUM(I5:I7)</f>
        <v/>
      </c>
      <c r="J9" s="87">
        <f>SUM(J5:J7)</f>
        <v/>
      </c>
      <c r="K9" s="88">
        <f>IFERROR(J9/H9,"")</f>
        <v/>
      </c>
    </row>
    <row r="11" ht="22" customHeight="1">
      <c r="A11" s="89" t="inlineStr">
        <is>
          <t>INVESTMENT THESIS &amp; RESEARCH NOTES</t>
        </is>
      </c>
      <c r="B11" s="90" t="n"/>
      <c r="C11" s="90" t="n"/>
      <c r="D11" s="90" t="n"/>
      <c r="E11" s="90" t="n"/>
      <c r="F11" s="90" t="n"/>
      <c r="G11" s="90" t="n"/>
      <c r="H11" s="90" t="n"/>
      <c r="I11" s="90" t="n"/>
      <c r="J11" s="90" t="n"/>
      <c r="K11" s="90" t="n"/>
      <c r="L11" s="90" t="n"/>
      <c r="M11" s="90" t="n"/>
      <c r="N11" s="90" t="n"/>
      <c r="O11" s="90" t="n"/>
      <c r="P11" s="90" t="n"/>
      <c r="Q11" s="90" t="n"/>
      <c r="R11" s="90" t="n"/>
    </row>
    <row r="12" ht="20" customHeight="1">
      <c r="A12" s="42" t="inlineStr">
        <is>
          <t>NBIS</t>
        </is>
      </c>
      <c r="B12" s="43" t="inlineStr">
        <is>
          <t xml:space="preserve">  Nebius Group   |   Risk: High</t>
        </is>
      </c>
    </row>
    <row r="13" ht="282" customHeight="1">
      <c r="A13" s="44" t="n"/>
      <c r="B13" s="45"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4" ht="8" customHeight="1"/>
    <row r="15" ht="20" customHeight="1">
      <c r="A15" s="42" t="inlineStr">
        <is>
          <t>PLTR</t>
        </is>
      </c>
      <c r="B15" s="43" t="inlineStr">
        <is>
          <t xml:space="preserve">  Palantir Technologies   |   Risk: Med-High</t>
        </is>
      </c>
    </row>
    <row r="16" ht="237" customHeight="1">
      <c r="A16" s="46" t="n"/>
      <c r="B16" s="47"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7" ht="8" customHeight="1"/>
    <row r="18" ht="20" customHeight="1">
      <c r="A18" s="42" t="inlineStr">
        <is>
          <t>RBRK</t>
        </is>
      </c>
      <c r="B18" s="43" t="inlineStr">
        <is>
          <t xml:space="preserve">  Rubrik Inc   |   Risk: Med-High</t>
        </is>
      </c>
    </row>
    <row r="19" ht="207" customHeight="1">
      <c r="A19" s="44" t="n"/>
      <c r="B19" s="45" t="inlineStr">
        <is>
          <t>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1" t="inlineStr">
        <is>
          <t>🛡️ Defense &amp; Drones</t>
        </is>
      </c>
    </row>
    <row r="2" ht="18" customHeight="1">
      <c r="A2" s="24" t="inlineStr">
        <is>
          <t>Defense technology and drone companies — $1.5T defense budget tailwind</t>
        </is>
      </c>
    </row>
    <row r="3" ht="32" customHeight="1">
      <c r="A3" s="3" t="inlineStr">
        <is>
          <t>🟡 Yellow cells = your inputs  |  All other cells auto-calculate  |  📡 Prices fetched: May 07, 2026 at 03:38 AM</t>
        </is>
      </c>
    </row>
    <row r="4">
      <c r="A4" s="92" t="inlineStr">
        <is>
          <t>Ticker</t>
        </is>
      </c>
      <c r="B4" s="92" t="inlineStr">
        <is>
          <t>Company</t>
        </is>
      </c>
      <c r="C4" s="92" t="inlineStr">
        <is>
          <t>Focus / Niche</t>
        </is>
      </c>
      <c r="D4" s="92" t="inlineStr">
        <is>
          <t>Risk</t>
        </is>
      </c>
      <c r="E4" s="92" t="inlineStr">
        <is>
          <t>Current
Price</t>
        </is>
      </c>
      <c r="F4" s="92" t="inlineStr">
        <is>
          <t>Today's
+/- %</t>
        </is>
      </c>
      <c r="G4" s="92" t="inlineStr">
        <is>
          <t>Purchase
Price</t>
        </is>
      </c>
      <c r="H4" s="92" t="inlineStr">
        <is>
          <t>Shares
Owned</t>
        </is>
      </c>
      <c r="I4" s="92" t="inlineStr">
        <is>
          <t>Total
Cost</t>
        </is>
      </c>
      <c r="J4" s="92" t="inlineStr">
        <is>
          <t>Current
Value</t>
        </is>
      </c>
      <c r="K4" s="92" t="inlineStr">
        <is>
          <t>P&amp;L ($)</t>
        </is>
      </c>
      <c r="L4" s="92" t="inlineStr">
        <is>
          <t>P&amp;L (%)</t>
        </is>
      </c>
      <c r="M4" s="92" t="inlineStr">
        <is>
          <t>52W
High</t>
        </is>
      </c>
      <c r="N4" s="92" t="inlineStr">
        <is>
          <t>52W
Low</t>
        </is>
      </c>
      <c r="O4" s="92" t="inlineStr">
        <is>
          <t>% from
52W High</t>
        </is>
      </c>
      <c r="P4" s="92" t="inlineStr">
        <is>
          <t>Analyst
Target</t>
        </is>
      </c>
      <c r="Q4" s="92" t="inlineStr">
        <is>
          <t>Upside to
Target</t>
        </is>
      </c>
      <c r="R4" s="92" t="inlineStr">
        <is>
          <t>Price
Alert</t>
        </is>
      </c>
    </row>
    <row r="5">
      <c r="A5" s="26" t="inlineStr">
        <is>
          <t>ONDS</t>
        </is>
      </c>
      <c r="B5" s="10" t="inlineStr">
        <is>
          <t>Ondas Holdings</t>
        </is>
      </c>
      <c r="C5" s="10" t="inlineStr">
        <is>
          <t>Drones and defense tech</t>
        </is>
      </c>
      <c r="D5" s="9" t="inlineStr">
        <is>
          <t>Very High</t>
        </is>
      </c>
      <c r="E5" s="27" t="n">
        <v>9.34</v>
      </c>
      <c r="F5" s="28" t="n">
        <v>0.6595696920710679</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93" t="inlineStr">
        <is>
          <t>PORTFOLIO TOTALS</t>
        </is>
      </c>
      <c r="H7" s="94">
        <f>SUM(H5:H5)</f>
        <v/>
      </c>
      <c r="I7" s="94">
        <f>SUM(I5:I5)</f>
        <v/>
      </c>
      <c r="J7" s="94">
        <f>SUM(J5:J5)</f>
        <v/>
      </c>
      <c r="K7" s="95">
        <f>IFERROR(J7/H7,"")</f>
        <v/>
      </c>
    </row>
    <row r="9" ht="22" customHeight="1">
      <c r="A9" s="96" t="inlineStr">
        <is>
          <t>INVESTMENT THESIS &amp; RESEARCH NOTES</t>
        </is>
      </c>
      <c r="B9" s="97" t="n"/>
      <c r="C9" s="97" t="n"/>
      <c r="D9" s="97" t="n"/>
      <c r="E9" s="97" t="n"/>
      <c r="F9" s="97" t="n"/>
      <c r="G9" s="97" t="n"/>
      <c r="H9" s="97" t="n"/>
      <c r="I9" s="97" t="n"/>
      <c r="J9" s="97" t="n"/>
      <c r="K9" s="97" t="n"/>
      <c r="L9" s="97" t="n"/>
      <c r="M9" s="97" t="n"/>
      <c r="N9" s="97" t="n"/>
      <c r="O9" s="97" t="n"/>
      <c r="P9" s="97" t="n"/>
      <c r="Q9" s="97" t="n"/>
      <c r="R9" s="97" t="n"/>
    </row>
    <row r="10" ht="20" customHeight="1">
      <c r="A10" s="42" t="inlineStr">
        <is>
          <t>ONDS</t>
        </is>
      </c>
      <c r="B10" s="43" t="inlineStr">
        <is>
          <t xml:space="preserve">  Ondas Holdings   |   Risk: Very High</t>
        </is>
      </c>
    </row>
    <row r="11" ht="282" customHeight="1">
      <c r="A11" s="44" t="n"/>
      <c r="B11" s="45"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8" t="inlineStr">
        <is>
          <t>🚀 Space Economy</t>
        </is>
      </c>
    </row>
    <row r="2" ht="18" customHeight="1">
      <c r="A2" s="24" t="inlineStr">
        <is>
          <t>Space infrastructure — long-duration compounder with SpaceX IPO catalyst</t>
        </is>
      </c>
    </row>
    <row r="3" ht="32" customHeight="1">
      <c r="A3" s="3" t="inlineStr">
        <is>
          <t>🟡 Yellow cells = your inputs  |  All other cells auto-calculate  |  📡 Prices fetched: May 07, 2026 at 03:38 AM</t>
        </is>
      </c>
    </row>
    <row r="4">
      <c r="A4" s="99" t="inlineStr">
        <is>
          <t>Ticker</t>
        </is>
      </c>
      <c r="B4" s="99" t="inlineStr">
        <is>
          <t>Company</t>
        </is>
      </c>
      <c r="C4" s="99" t="inlineStr">
        <is>
          <t>Focus / Niche</t>
        </is>
      </c>
      <c r="D4" s="99" t="inlineStr">
        <is>
          <t>Risk</t>
        </is>
      </c>
      <c r="E4" s="99" t="inlineStr">
        <is>
          <t>Current
Price</t>
        </is>
      </c>
      <c r="F4" s="99" t="inlineStr">
        <is>
          <t>Today's
+/- %</t>
        </is>
      </c>
      <c r="G4" s="99" t="inlineStr">
        <is>
          <t>Purchase
Price</t>
        </is>
      </c>
      <c r="H4" s="99" t="inlineStr">
        <is>
          <t>Shares
Owned</t>
        </is>
      </c>
      <c r="I4" s="99" t="inlineStr">
        <is>
          <t>Total
Cost</t>
        </is>
      </c>
      <c r="J4" s="99" t="inlineStr">
        <is>
          <t>Current
Value</t>
        </is>
      </c>
      <c r="K4" s="99" t="inlineStr">
        <is>
          <t>P&amp;L ($)</t>
        </is>
      </c>
      <c r="L4" s="99" t="inlineStr">
        <is>
          <t>P&amp;L (%)</t>
        </is>
      </c>
      <c r="M4" s="99" t="inlineStr">
        <is>
          <t>52W
High</t>
        </is>
      </c>
      <c r="N4" s="99" t="inlineStr">
        <is>
          <t>52W
Low</t>
        </is>
      </c>
      <c r="O4" s="99" t="inlineStr">
        <is>
          <t>% from
52W High</t>
        </is>
      </c>
      <c r="P4" s="99" t="inlineStr">
        <is>
          <t>Analyst
Target</t>
        </is>
      </c>
      <c r="Q4" s="99" t="inlineStr">
        <is>
          <t>Upside to
Target</t>
        </is>
      </c>
      <c r="R4" s="99" t="inlineStr">
        <is>
          <t>Price
Alert</t>
        </is>
      </c>
    </row>
    <row r="5">
      <c r="A5" s="26" t="inlineStr">
        <is>
          <t>RKLB</t>
        </is>
      </c>
      <c r="B5" s="10" t="inlineStr">
        <is>
          <t>Rocket Lab USA</t>
        </is>
      </c>
      <c r="C5" s="10" t="inlineStr">
        <is>
          <t>Space economy &amp; launch infrastructure</t>
        </is>
      </c>
      <c r="D5" s="9" t="inlineStr">
        <is>
          <t>High</t>
        </is>
      </c>
      <c r="E5" s="27" t="n">
        <v>84.65000000000001</v>
      </c>
      <c r="F5" s="28" t="n">
        <v>7.875623201069081</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100" t="inlineStr">
        <is>
          <t>PORTFOLIO TOTALS</t>
        </is>
      </c>
      <c r="H7" s="101">
        <f>SUM(H5:H5)</f>
        <v/>
      </c>
      <c r="I7" s="101">
        <f>SUM(I5:I5)</f>
        <v/>
      </c>
      <c r="J7" s="101">
        <f>SUM(J5:J5)</f>
        <v/>
      </c>
      <c r="K7" s="102">
        <f>IFERROR(J7/H7,"")</f>
        <v/>
      </c>
    </row>
    <row r="9" ht="22" customHeight="1">
      <c r="A9" s="103" t="inlineStr">
        <is>
          <t>INVESTMENT THESIS &amp; RESEARCH NOTES</t>
        </is>
      </c>
      <c r="B9" s="104" t="n"/>
      <c r="C9" s="104" t="n"/>
      <c r="D9" s="104" t="n"/>
      <c r="E9" s="104" t="n"/>
      <c r="F9" s="104" t="n"/>
      <c r="G9" s="104" t="n"/>
      <c r="H9" s="104" t="n"/>
      <c r="I9" s="104" t="n"/>
      <c r="J9" s="104" t="n"/>
      <c r="K9" s="104" t="n"/>
      <c r="L9" s="104" t="n"/>
      <c r="M9" s="104" t="n"/>
      <c r="N9" s="104" t="n"/>
      <c r="O9" s="104" t="n"/>
      <c r="P9" s="104" t="n"/>
      <c r="Q9" s="104" t="n"/>
      <c r="R9" s="104" t="n"/>
    </row>
    <row r="10" ht="20" customHeight="1">
      <c r="A10" s="42" t="inlineStr">
        <is>
          <t>RKLB</t>
        </is>
      </c>
      <c r="B10" s="43" t="inlineStr">
        <is>
          <t xml:space="preserve">  Rocket Lab USA   |   Risk: High</t>
        </is>
      </c>
    </row>
    <row r="11" ht="282" customHeight="1">
      <c r="A11" s="44" t="n"/>
      <c r="B11" s="45"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05" t="inlineStr">
        <is>
          <t>📝 RESEARCH NOTES &amp; INVESTMENT THESIS</t>
        </is>
      </c>
    </row>
    <row r="2" ht="35" customHeight="1">
      <c r="A2" s="106" t="inlineStr">
        <is>
          <t>401k To-Do</t>
        </is>
      </c>
      <c r="B2" s="22" t="inlineStr">
        <is>
          <t>• Transfer 401k from Accrue (Now Vestwell) → Charles Schwab
• Transfer 401k from Vanguard (1-800-523-1188) → Charles Schwab</t>
        </is>
      </c>
    </row>
    <row r="3" ht="20" customHeight="1">
      <c r="A3" s="107" t="inlineStr">
        <is>
          <t>Savings Account</t>
        </is>
      </c>
      <c r="B3" s="22" t="inlineStr">
        <is>
          <t>• Open Savings Account with Capital One (for holding taxes)</t>
        </is>
      </c>
    </row>
    <row r="4" ht="20" customHeight="1">
      <c r="A4" s="106" t="inlineStr">
        <is>
          <t>Research Tools</t>
        </is>
      </c>
      <c r="B4" s="22" t="inlineStr">
        <is>
          <t>• Learn how to use 'Unusual Whales' website — watch YouTube tutorials</t>
        </is>
      </c>
    </row>
    <row r="5" ht="20" customHeight="1">
      <c r="A5" s="107" t="inlineStr">
        <is>
          <t>Quantum Thesis</t>
        </is>
      </c>
      <c r="B5" s="22" t="inlineStr">
        <is>
          <t>Next run will be of quantum. Buy IONQ, RGTI, and QBTS. Easy 10× within 2 years.</t>
        </is>
      </c>
    </row>
    <row r="6" ht="20" customHeight="1">
      <c r="A6" s="106" t="inlineStr">
        <is>
          <t>NVTS</t>
        </is>
      </c>
      <c r="B6" s="22" t="inlineStr">
        <is>
          <t>Navitas Semiconductor — GaN power chips. AI data centers need radically more efficient power delivery. NVDA parallel: picks-and-shovels for compute growth. High-risk bet on next-gen power architecture shift.</t>
        </is>
      </c>
    </row>
    <row r="7" ht="20" customHeight="1">
      <c r="A7" s="107" t="inlineStr">
        <is>
          <t>AEHR</t>
        </is>
      </c>
      <c r="B7" s="22" t="inlineStr">
        <is>
          <t>AEHR Test Systems — Semiconductor burn-in and test equipment. AI chips require more advanced testing at scale. More chips → more testing bottleneck demand. Classic shovels in a gold rush setup.</t>
        </is>
      </c>
    </row>
    <row r="8" ht="20" customHeight="1">
      <c r="A8" s="106" t="inlineStr">
        <is>
          <t>CRDO</t>
        </is>
      </c>
      <c r="B8" s="22"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07" t="inlineStr">
        <is>
          <t>ALGM</t>
        </is>
      </c>
      <c r="B9" s="22" t="inlineStr">
        <is>
          <t>Allegro MicroSystems — Power &amp; sensing semiconductors. Electrification + AI hardware power efficiency. Steady but still early in AI rerating narrative. More of a quiet compounder than hype stock.</t>
        </is>
      </c>
    </row>
    <row r="10" ht="20" customHeight="1">
      <c r="A10" s="106" t="inlineStr">
        <is>
          <t>HIMX</t>
        </is>
      </c>
      <c r="B10" s="22" t="inlineStr">
        <is>
          <t>Himax Technologies — Display drivers + AR/AI vision chips. Exposure to AI edge devices + optics. Often overlooked ADR with cyclical breakout behavior. Higher volatility, but historically rerates fast on cycles.</t>
        </is>
      </c>
    </row>
    <row r="11" ht="20" customHeight="1">
      <c r="A11" s="107" t="inlineStr">
        <is>
          <t>MTSI</t>
        </is>
      </c>
      <c r="B11" s="22" t="inlineStr">
        <is>
          <t>MACOM — RF, microwave, high-speed analog chips. AI datacenter interconnect + telecom backbone. Beneficiary of long-term bandwidth expansion trend. Less hype, more industrial AI backbone exposure.</t>
        </is>
      </c>
    </row>
    <row r="12" ht="20" customHeight="1">
      <c r="A12" s="106" t="inlineStr">
        <is>
          <t>AEVA</t>
        </is>
      </c>
      <c r="B12" s="22" t="inlineStr">
        <is>
          <t>Aeva Technologies — Lidar + sensing tech. Autonomous systems + robotics long tail. Still early commercialization phase. Pure asymmetric bet: low probability, high upside.</t>
        </is>
      </c>
    </row>
    <row r="13" ht="20" customHeight="1">
      <c r="A13" s="107" t="inlineStr">
        <is>
          <t>AI Infrastructure</t>
        </is>
      </c>
      <c r="B13" s="22" t="inlineStr">
        <is>
          <t>The AI trade is shifting down stack: Memory Names | Photonics &amp; Optics | CPU Makers (INTC, AMD, ARM, NVDA) | Actual Builders &amp; Materials (CAT, FIX, POWL) | Cooling Companies (VRT, FIX) | Power Generation &amp; Grid (GEV, BE, PWR)</t>
        </is>
      </c>
    </row>
    <row r="14" ht="20" customHeight="1">
      <c r="A14" s="106" t="inlineStr">
        <is>
          <t>LITE</t>
        </is>
      </c>
      <c r="B14" s="22" t="inlineStr">
        <is>
          <t>Lumentum — King of Photonics. Could moonshot. Critical infrastructure for AI data movement.</t>
        </is>
      </c>
    </row>
    <row r="15" ht="20" customHeight="1">
      <c r="A15" s="107" t="inlineStr">
        <is>
          <t>OKLO</t>
        </is>
      </c>
      <c r="B15" s="22" t="inlineStr">
        <is>
          <t>Nuclear SMRs and Nuclear Fuel Waste. Huge moonshot potential but big regulatory and execution risk. Worth a small percentage of portfolio because of its massive potential.</t>
        </is>
      </c>
    </row>
    <row r="16" ht="20" customHeight="1">
      <c r="A16" s="106" t="inlineStr">
        <is>
          <t>NBIS</t>
        </is>
      </c>
      <c r="B16" s="22"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07" t="inlineStr">
        <is>
          <t>PLTR</t>
        </is>
      </c>
      <c r="B17" s="22" t="inlineStr">
        <is>
          <t>Palantir — AI Software. So integral to the entire government AI stack and is not going anywhere soon. Outlier outside of the data center trade.</t>
        </is>
      </c>
    </row>
    <row r="18" ht="20" customHeight="1">
      <c r="A18" s="106" t="inlineStr">
        <is>
          <t>ONDS</t>
        </is>
      </c>
      <c r="B18" s="22"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07" t="inlineStr">
        <is>
          <t>RKLB</t>
        </is>
      </c>
      <c r="B19" s="22"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06" t="inlineStr">
        <is>
          <t>Recommended Portfolio</t>
        </is>
      </c>
      <c r="B20" s="22"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2026-05-07T03:38:53Z</dcterms:created>
  <dcterms:modified xsi:type="dcterms:W3CDTF">2026-05-07T03:38:53Z</dcterms:modified>
</cp:coreProperties>
</file>