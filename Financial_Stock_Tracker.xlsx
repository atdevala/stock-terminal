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4">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7">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10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wrapText="1"/>
    </xf>
    <xf numFmtId="0" fontId="17" fillId="7" borderId="2" applyAlignment="1" pivotButton="0" quotePrefix="0" xfId="0">
      <alignment horizontal="center" vertical="center" wrapText="1"/>
    </xf>
    <xf numFmtId="0" fontId="17"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22" fillId="5" borderId="2" applyAlignment="1" pivotButton="0" quotePrefix="0" xfId="0">
      <alignment horizontal="left" vertical="top" wrapText="1"/>
    </xf>
    <xf numFmtId="0" fontId="22" fillId="6" borderId="2"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wrapText="1"/>
    </xf>
    <xf numFmtId="0" fontId="23"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10:24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10:24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0" customHeight="1">
      <c r="A11" s="39" t="inlineStr">
        <is>
          <t>📌  INVESTMENT THESIS &amp; RESEARCH NOTES</t>
        </is>
      </c>
    </row>
    <row r="12" ht="16" customHeight="1">
      <c r="A12" s="40" t="inlineStr">
        <is>
          <t>Ticker</t>
        </is>
      </c>
      <c r="B12" s="40" t="inlineStr">
        <is>
          <t>Company</t>
        </is>
      </c>
      <c r="C12" s="41" t="inlineStr">
        <is>
          <t>Notes / Thesis</t>
        </is>
      </c>
      <c r="D12" s="42" t="n"/>
      <c r="E12" s="42" t="n"/>
      <c r="F12" s="42" t="n"/>
      <c r="G12" s="42" t="n"/>
      <c r="H12" s="42" t="n"/>
      <c r="I12" s="42" t="n"/>
      <c r="J12" s="42" t="n"/>
      <c r="K12" s="42" t="n"/>
      <c r="L12" s="42" t="n"/>
      <c r="M12" s="42" t="n"/>
      <c r="N12" s="42" t="n"/>
      <c r="O12" s="42" t="n"/>
      <c r="P12" s="42" t="n"/>
      <c r="Q12" s="43" t="n"/>
    </row>
    <row r="13" ht="40" customHeight="1">
      <c r="A13" s="33" t="inlineStr">
        <is>
          <t>IONQ</t>
        </is>
      </c>
      <c r="B13" s="44" t="inlineStr">
        <is>
          <t>IonQ Inc</t>
        </is>
      </c>
      <c r="C13" s="44" t="inlineStr">
        <is>
          <t>Next quantum run candidate. Easy 10× within 2 years potential.</t>
        </is>
      </c>
    </row>
    <row r="14" ht="40" customHeight="1">
      <c r="A14" s="27" t="inlineStr">
        <is>
          <t>RGTI</t>
        </is>
      </c>
      <c r="B14" s="45" t="inlineStr">
        <is>
          <t>Rigetti Computing</t>
        </is>
      </c>
      <c r="C14" s="45" t="inlineStr">
        <is>
          <t>Next quantum run candidate. Easy 10× within 2 years potential.</t>
        </is>
      </c>
    </row>
    <row r="15" ht="40" customHeight="1">
      <c r="A15" s="33" t="inlineStr">
        <is>
          <t>QBTS</t>
        </is>
      </c>
      <c r="B15" s="44" t="inlineStr">
        <is>
          <t>D-Wave Quantum</t>
        </is>
      </c>
      <c r="C15" s="44" t="inlineStr">
        <is>
          <t>Next quantum run candidate. Easy 10× within 2 years potential.</t>
        </is>
      </c>
    </row>
  </sheetData>
  <mergeCells count="9">
    <mergeCell ref="C15:Q15"/>
    <mergeCell ref="A9:G9"/>
    <mergeCell ref="A3:Q3"/>
    <mergeCell ref="C14:Q14"/>
    <mergeCell ref="C13:Q13"/>
    <mergeCell ref="A2:Q2"/>
    <mergeCell ref="A11:Q11"/>
    <mergeCell ref="A1:Q1"/>
    <mergeCell ref="C12:Q12"/>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2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6"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10:24 PM</t>
        </is>
      </c>
    </row>
    <row r="4">
      <c r="A4" s="47" t="inlineStr">
        <is>
          <t>Ticker</t>
        </is>
      </c>
      <c r="B4" s="47" t="inlineStr">
        <is>
          <t>Company</t>
        </is>
      </c>
      <c r="C4" s="47" t="inlineStr">
        <is>
          <t>Focus / Niche</t>
        </is>
      </c>
      <c r="D4" s="47" t="inlineStr">
        <is>
          <t>Risk</t>
        </is>
      </c>
      <c r="E4" s="47" t="inlineStr">
        <is>
          <t>Current
Price</t>
        </is>
      </c>
      <c r="F4" s="47" t="inlineStr">
        <is>
          <t>Today's
+/- %</t>
        </is>
      </c>
      <c r="G4" s="47" t="inlineStr">
        <is>
          <t>Purchase
Price</t>
        </is>
      </c>
      <c r="H4" s="47" t="inlineStr">
        <is>
          <t>Shares
Owned</t>
        </is>
      </c>
      <c r="I4" s="47" t="inlineStr">
        <is>
          <t>Total
Cost</t>
        </is>
      </c>
      <c r="J4" s="47" t="inlineStr">
        <is>
          <t>Current
Value</t>
        </is>
      </c>
      <c r="K4" s="47" t="inlineStr">
        <is>
          <t>P&amp;L ($)</t>
        </is>
      </c>
      <c r="L4" s="47" t="inlineStr">
        <is>
          <t>P&amp;L (%)</t>
        </is>
      </c>
      <c r="M4" s="47" t="inlineStr">
        <is>
          <t>52W
High</t>
        </is>
      </c>
      <c r="N4" s="47" t="inlineStr">
        <is>
          <t>52W
Low</t>
        </is>
      </c>
      <c r="O4" s="47" t="inlineStr">
        <is>
          <t>% from
52W High</t>
        </is>
      </c>
      <c r="P4" s="47" t="inlineStr">
        <is>
          <t>Analyst
Target</t>
        </is>
      </c>
      <c r="Q4" s="47"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8"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8"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49" t="inlineStr">
        <is>
          <t>PORTFOLIO TOTALS</t>
        </is>
      </c>
      <c r="H12" s="50">
        <f>SUM(H5:H10)</f>
        <v/>
      </c>
      <c r="I12" s="50">
        <f>SUM(I5:I10)</f>
        <v/>
      </c>
      <c r="J12" s="50">
        <f>SUM(J5:J10)</f>
        <v/>
      </c>
      <c r="K12" s="51">
        <f>IFERROR(J12/H12,"")</f>
        <v/>
      </c>
    </row>
    <row r="14" ht="20" customHeight="1">
      <c r="A14" s="52" t="inlineStr">
        <is>
          <t>📌  INVESTMENT THESIS &amp; RESEARCH NOTES</t>
        </is>
      </c>
    </row>
    <row r="15" ht="16" customHeight="1">
      <c r="A15" s="40" t="inlineStr">
        <is>
          <t>Ticker</t>
        </is>
      </c>
      <c r="B15" s="40" t="inlineStr">
        <is>
          <t>Company</t>
        </is>
      </c>
      <c r="C15" s="41" t="inlineStr">
        <is>
          <t>Notes / Thesis</t>
        </is>
      </c>
      <c r="D15" s="42" t="n"/>
      <c r="E15" s="42" t="n"/>
      <c r="F15" s="42" t="n"/>
      <c r="G15" s="42" t="n"/>
      <c r="H15" s="42" t="n"/>
      <c r="I15" s="42" t="n"/>
      <c r="J15" s="42" t="n"/>
      <c r="K15" s="42" t="n"/>
      <c r="L15" s="42" t="n"/>
      <c r="M15" s="42" t="n"/>
      <c r="N15" s="42" t="n"/>
      <c r="O15" s="42" t="n"/>
      <c r="P15" s="42" t="n"/>
      <c r="Q15" s="43" t="n"/>
    </row>
    <row r="16" ht="40" customHeight="1">
      <c r="A16" s="33" t="inlineStr">
        <is>
          <t>NVDA</t>
        </is>
      </c>
      <c r="B16" s="44" t="inlineStr">
        <is>
          <t>NVIDIA Corp</t>
        </is>
      </c>
      <c r="C16" s="44" t="inlineStr">
        <is>
          <t>The AI compute king. Stability and steady compounder.</t>
        </is>
      </c>
    </row>
    <row r="17" ht="40" customHeight="1">
      <c r="A17" s="27" t="inlineStr">
        <is>
          <t>AVGO</t>
        </is>
      </c>
      <c r="B17" s="45" t="inlineStr">
        <is>
          <t>Broadcom Inc</t>
        </is>
      </c>
      <c r="C17" s="45" t="inlineStr">
        <is>
          <t>Stability and steady compounder.</t>
        </is>
      </c>
    </row>
    <row r="18" ht="40" customHeight="1">
      <c r="A18" s="33" t="inlineStr">
        <is>
          <t>LRCX</t>
        </is>
      </c>
      <c r="B18" s="44" t="inlineStr">
        <is>
          <t>Lam Research</t>
        </is>
      </c>
      <c r="C18" s="44" t="inlineStr">
        <is>
          <t>Stability and steady compounder. DRAM equipment leader.</t>
        </is>
      </c>
    </row>
    <row r="19" ht="40" customHeight="1">
      <c r="A19" s="27" t="inlineStr">
        <is>
          <t>AMD</t>
        </is>
      </c>
      <c r="B19" s="45" t="inlineStr">
        <is>
          <t>Advanced Micro Devices</t>
        </is>
      </c>
      <c r="C19" s="45" t="inlineStr">
        <is>
          <t>CPU maker deep in the AI infrastructure stack.</t>
        </is>
      </c>
    </row>
    <row r="20" ht="40" customHeight="1">
      <c r="A20" s="33" t="inlineStr">
        <is>
          <t>INTC</t>
        </is>
      </c>
      <c r="B20" s="44" t="inlineStr">
        <is>
          <t>Intel Corp</t>
        </is>
      </c>
      <c r="C20" s="44" t="inlineStr">
        <is>
          <t>CPU maker in AI infrastructure stack. Turnaround story.</t>
        </is>
      </c>
    </row>
    <row r="21" ht="40" customHeight="1">
      <c r="A21" s="27" t="inlineStr">
        <is>
          <t>ARM</t>
        </is>
      </c>
      <c r="B21" s="45" t="inlineStr">
        <is>
          <t>Arm Holdings</t>
        </is>
      </c>
      <c r="C21" s="45" t="inlineStr">
        <is>
          <t>Architecture behind most AI edge chips. Royalty model.</t>
        </is>
      </c>
    </row>
  </sheetData>
  <mergeCells count="12">
    <mergeCell ref="A14:Q14"/>
    <mergeCell ref="C21:Q21"/>
    <mergeCell ref="C20:Q20"/>
    <mergeCell ref="C15:Q15"/>
    <mergeCell ref="C17:Q17"/>
    <mergeCell ref="A3:Q3"/>
    <mergeCell ref="C16:Q16"/>
    <mergeCell ref="A12:G12"/>
    <mergeCell ref="C19:Q19"/>
    <mergeCell ref="A2:Q2"/>
    <mergeCell ref="C18:Q18"/>
    <mergeCell ref="A1:Q1"/>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3"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10:24 PM</t>
        </is>
      </c>
    </row>
    <row r="4">
      <c r="A4" s="54" t="inlineStr">
        <is>
          <t>Ticker</t>
        </is>
      </c>
      <c r="B4" s="54" t="inlineStr">
        <is>
          <t>Company</t>
        </is>
      </c>
      <c r="C4" s="54" t="inlineStr">
        <is>
          <t>Focus / Niche</t>
        </is>
      </c>
      <c r="D4" s="54" t="inlineStr">
        <is>
          <t>Risk</t>
        </is>
      </c>
      <c r="E4" s="54" t="inlineStr">
        <is>
          <t>Current
Price</t>
        </is>
      </c>
      <c r="F4" s="54" t="inlineStr">
        <is>
          <t>Today's
+/- %</t>
        </is>
      </c>
      <c r="G4" s="54" t="inlineStr">
        <is>
          <t>Purchase
Price</t>
        </is>
      </c>
      <c r="H4" s="54" t="inlineStr">
        <is>
          <t>Shares
Owned</t>
        </is>
      </c>
      <c r="I4" s="54" t="inlineStr">
        <is>
          <t>Total
Cost</t>
        </is>
      </c>
      <c r="J4" s="54" t="inlineStr">
        <is>
          <t>Current
Value</t>
        </is>
      </c>
      <c r="K4" s="54" t="inlineStr">
        <is>
          <t>P&amp;L ($)</t>
        </is>
      </c>
      <c r="L4" s="54" t="inlineStr">
        <is>
          <t>P&amp;L (%)</t>
        </is>
      </c>
      <c r="M4" s="54" t="inlineStr">
        <is>
          <t>52W
High</t>
        </is>
      </c>
      <c r="N4" s="54" t="inlineStr">
        <is>
          <t>52W
Low</t>
        </is>
      </c>
      <c r="O4" s="54" t="inlineStr">
        <is>
          <t>% from
52W High</t>
        </is>
      </c>
      <c r="P4" s="54" t="inlineStr">
        <is>
          <t>Analyst
Target</t>
        </is>
      </c>
      <c r="Q4" s="54"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8"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8"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5" t="inlineStr">
        <is>
          <t>PORTFOLIO TOTALS</t>
        </is>
      </c>
      <c r="H13" s="56">
        <f>SUM(H5:H11)</f>
        <v/>
      </c>
      <c r="I13" s="56">
        <f>SUM(I5:I11)</f>
        <v/>
      </c>
      <c r="J13" s="56">
        <f>SUM(J5:J11)</f>
        <v/>
      </c>
      <c r="K13" s="57">
        <f>IFERROR(J13/H13,"")</f>
        <v/>
      </c>
    </row>
    <row r="15" ht="20" customHeight="1">
      <c r="A15" s="58" t="inlineStr">
        <is>
          <t>📌  INVESTMENT THESIS &amp; RESEARCH NOTES</t>
        </is>
      </c>
    </row>
    <row r="16" ht="16" customHeight="1">
      <c r="A16" s="40" t="inlineStr">
        <is>
          <t>Ticker</t>
        </is>
      </c>
      <c r="B16" s="40" t="inlineStr">
        <is>
          <t>Company</t>
        </is>
      </c>
      <c r="C16" s="41" t="inlineStr">
        <is>
          <t>Notes / Thesis</t>
        </is>
      </c>
      <c r="D16" s="42" t="n"/>
      <c r="E16" s="42" t="n"/>
      <c r="F16" s="42" t="n"/>
      <c r="G16" s="42" t="n"/>
      <c r="H16" s="42" t="n"/>
      <c r="I16" s="42" t="n"/>
      <c r="J16" s="42" t="n"/>
      <c r="K16" s="42" t="n"/>
      <c r="L16" s="42" t="n"/>
      <c r="M16" s="42" t="n"/>
      <c r="N16" s="42" t="n"/>
      <c r="O16" s="42" t="n"/>
      <c r="P16" s="42" t="n"/>
      <c r="Q16" s="43" t="n"/>
    </row>
    <row r="17" ht="40" customHeight="1">
      <c r="A17" s="33" t="inlineStr">
        <is>
          <t>NVTS</t>
        </is>
      </c>
      <c r="B17" s="44" t="inlineStr">
        <is>
          <t>Navitas Semiconductor</t>
        </is>
      </c>
      <c r="C17" s="44" t="inlineStr">
        <is>
          <t>AI data centers need radically more efficient power delivery. Picks-and-shovels for compute growth.</t>
        </is>
      </c>
    </row>
    <row r="18" ht="40" customHeight="1">
      <c r="A18" s="27" t="inlineStr">
        <is>
          <t>AEHR</t>
        </is>
      </c>
      <c r="B18" s="45" t="inlineStr">
        <is>
          <t>AEHR Test Systems</t>
        </is>
      </c>
      <c r="C18" s="45" t="inlineStr">
        <is>
          <t>Classic shovels in a gold rush. More AI chips = more testing bottleneck demand.</t>
        </is>
      </c>
    </row>
    <row r="19" ht="40" customHeight="1">
      <c r="A19" s="33" t="inlineStr">
        <is>
          <t>CRDO</t>
        </is>
      </c>
      <c r="B19" s="44" t="inlineStr">
        <is>
          <t>Credo Technology</t>
        </is>
      </c>
      <c r="C19" s="44" t="inlineStr">
        <is>
          <t>GPUs don't matter if data can't move between them. Cleanest AI infrastructure picks-and-shovels name.</t>
        </is>
      </c>
    </row>
    <row r="20" ht="40" customHeight="1">
      <c r="A20" s="27" t="inlineStr">
        <is>
          <t>ALGM</t>
        </is>
      </c>
      <c r="B20" s="45" t="inlineStr">
        <is>
          <t>Allegro MicroSystems</t>
        </is>
      </c>
      <c r="C20" s="45" t="inlineStr">
        <is>
          <t>Electrification + AI hardware power efficiency. Quiet compounder, early in AI rerating narrative.</t>
        </is>
      </c>
    </row>
    <row r="21" ht="40" customHeight="1">
      <c r="A21" s="33" t="inlineStr">
        <is>
          <t>HIMX</t>
        </is>
      </c>
      <c r="B21" s="44" t="inlineStr">
        <is>
          <t>Himax Technologies</t>
        </is>
      </c>
      <c r="C21" s="44" t="inlineStr">
        <is>
          <t>Exposure to AI edge devices + optics. Higher volatility, historically rerates fast on cycles.</t>
        </is>
      </c>
    </row>
    <row r="22" ht="40" customHeight="1">
      <c r="A22" s="27" t="inlineStr">
        <is>
          <t>MTSI</t>
        </is>
      </c>
      <c r="B22" s="45" t="inlineStr">
        <is>
          <t>MACOM Technology</t>
        </is>
      </c>
      <c r="C22" s="45" t="inlineStr">
        <is>
          <t>AI datacenter interconnect + telecom backbone. Less hype, more industrial AI backbone exposure.</t>
        </is>
      </c>
    </row>
    <row r="23" ht="40" customHeight="1">
      <c r="A23" s="33" t="inlineStr">
        <is>
          <t>AEVA</t>
        </is>
      </c>
      <c r="B23" s="44" t="inlineStr">
        <is>
          <t>Aeva Technologies</t>
        </is>
      </c>
      <c r="C23" s="44" t="inlineStr">
        <is>
          <t>Autonomous systems + robotics long tail. Pure asymmetric bet: low probability, high upside.</t>
        </is>
      </c>
    </row>
  </sheetData>
  <mergeCells count="13">
    <mergeCell ref="A13:G13"/>
    <mergeCell ref="C21:Q21"/>
    <mergeCell ref="C20:Q20"/>
    <mergeCell ref="C17:Q17"/>
    <mergeCell ref="A3:Q3"/>
    <mergeCell ref="C16:Q16"/>
    <mergeCell ref="C19:Q19"/>
    <mergeCell ref="A2:Q2"/>
    <mergeCell ref="A15:Q15"/>
    <mergeCell ref="C23:Q23"/>
    <mergeCell ref="C22:Q22"/>
    <mergeCell ref="C18:Q18"/>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9"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10:24 PM</t>
        </is>
      </c>
    </row>
    <row r="4">
      <c r="A4" s="60" t="inlineStr">
        <is>
          <t>Ticker</t>
        </is>
      </c>
      <c r="B4" s="60" t="inlineStr">
        <is>
          <t>Company</t>
        </is>
      </c>
      <c r="C4" s="60" t="inlineStr">
        <is>
          <t>Focus / Niche</t>
        </is>
      </c>
      <c r="D4" s="60" t="inlineStr">
        <is>
          <t>Risk</t>
        </is>
      </c>
      <c r="E4" s="60" t="inlineStr">
        <is>
          <t>Current
Price</t>
        </is>
      </c>
      <c r="F4" s="60" t="inlineStr">
        <is>
          <t>Today's
+/- %</t>
        </is>
      </c>
      <c r="G4" s="60" t="inlineStr">
        <is>
          <t>Purchase
Price</t>
        </is>
      </c>
      <c r="H4" s="60" t="inlineStr">
        <is>
          <t>Shares
Owned</t>
        </is>
      </c>
      <c r="I4" s="60" t="inlineStr">
        <is>
          <t>Total
Cost</t>
        </is>
      </c>
      <c r="J4" s="60" t="inlineStr">
        <is>
          <t>Current
Value</t>
        </is>
      </c>
      <c r="K4" s="60" t="inlineStr">
        <is>
          <t>P&amp;L ($)</t>
        </is>
      </c>
      <c r="L4" s="60" t="inlineStr">
        <is>
          <t>P&amp;L (%)</t>
        </is>
      </c>
      <c r="M4" s="60" t="inlineStr">
        <is>
          <t>52W
High</t>
        </is>
      </c>
      <c r="N4" s="60" t="inlineStr">
        <is>
          <t>52W
Low</t>
        </is>
      </c>
      <c r="O4" s="60" t="inlineStr">
        <is>
          <t>% from
52W High</t>
        </is>
      </c>
      <c r="P4" s="60" t="inlineStr">
        <is>
          <t>Analyst
Target</t>
        </is>
      </c>
      <c r="Q4" s="60" t="inlineStr">
        <is>
          <t>Upside to
Target</t>
        </is>
      </c>
    </row>
    <row r="5">
      <c r="A5" s="27" t="inlineStr">
        <is>
          <t>LITE</t>
        </is>
      </c>
      <c r="B5" s="10" t="inlineStr">
        <is>
          <t>Lumentum Holdings</t>
        </is>
      </c>
      <c r="C5" s="10" t="inlineStr">
        <is>
          <t>Photonics, optical components for AI DCs</t>
        </is>
      </c>
      <c r="D5" s="9" t="inlineStr">
        <is>
          <t>High</t>
        </is>
      </c>
      <c r="E5" s="28" t="n">
        <v>944.28</v>
      </c>
      <c r="F5" s="48"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1" t="inlineStr">
        <is>
          <t>PORTFOLIO TOTALS</t>
        </is>
      </c>
      <c r="H7" s="62">
        <f>SUM(H5:H5)</f>
        <v/>
      </c>
      <c r="I7" s="62">
        <f>SUM(I5:I5)</f>
        <v/>
      </c>
      <c r="J7" s="62">
        <f>SUM(J5:J5)</f>
        <v/>
      </c>
      <c r="K7" s="63">
        <f>IFERROR(J7/H7,"")</f>
        <v/>
      </c>
    </row>
    <row r="9" ht="20" customHeight="1">
      <c r="A9" s="64"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0" customHeight="1">
      <c r="A11" s="33" t="inlineStr">
        <is>
          <t>LITE</t>
        </is>
      </c>
      <c r="B11" s="44" t="inlineStr">
        <is>
          <t>Lumentum Holdings</t>
        </is>
      </c>
      <c r="C11" s="44" t="inlineStr">
        <is>
          <t>King of Photonics. Could moonshot. Key bottleneck in AI data movement. Critical infrastructure.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5"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10:24 PM</t>
        </is>
      </c>
    </row>
    <row r="4">
      <c r="A4" s="66" t="inlineStr">
        <is>
          <t>Ticker</t>
        </is>
      </c>
      <c r="B4" s="66" t="inlineStr">
        <is>
          <t>Company</t>
        </is>
      </c>
      <c r="C4" s="66" t="inlineStr">
        <is>
          <t>Focus / Niche</t>
        </is>
      </c>
      <c r="D4" s="66" t="inlineStr">
        <is>
          <t>Risk</t>
        </is>
      </c>
      <c r="E4" s="66" t="inlineStr">
        <is>
          <t>Current
Price</t>
        </is>
      </c>
      <c r="F4" s="66" t="inlineStr">
        <is>
          <t>Today's
+/- %</t>
        </is>
      </c>
      <c r="G4" s="66" t="inlineStr">
        <is>
          <t>Purchase
Price</t>
        </is>
      </c>
      <c r="H4" s="66" t="inlineStr">
        <is>
          <t>Shares
Owned</t>
        </is>
      </c>
      <c r="I4" s="66" t="inlineStr">
        <is>
          <t>Total
Cost</t>
        </is>
      </c>
      <c r="J4" s="66" t="inlineStr">
        <is>
          <t>Current
Value</t>
        </is>
      </c>
      <c r="K4" s="66" t="inlineStr">
        <is>
          <t>P&amp;L ($)</t>
        </is>
      </c>
      <c r="L4" s="66" t="inlineStr">
        <is>
          <t>P&amp;L (%)</t>
        </is>
      </c>
      <c r="M4" s="66" t="inlineStr">
        <is>
          <t>52W
High</t>
        </is>
      </c>
      <c r="N4" s="66" t="inlineStr">
        <is>
          <t>52W
Low</t>
        </is>
      </c>
      <c r="O4" s="66" t="inlineStr">
        <is>
          <t>% from
52W High</t>
        </is>
      </c>
      <c r="P4" s="66" t="inlineStr">
        <is>
          <t>Analyst
Target</t>
        </is>
      </c>
      <c r="Q4" s="66"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67" t="inlineStr">
        <is>
          <t>PORTFOLIO TOTALS</t>
        </is>
      </c>
      <c r="H10" s="68">
        <f>SUM(H5:H8)</f>
        <v/>
      </c>
      <c r="I10" s="68">
        <f>SUM(I5:I8)</f>
        <v/>
      </c>
      <c r="J10" s="68">
        <f>SUM(J5:J8)</f>
        <v/>
      </c>
      <c r="K10" s="69">
        <f>IFERROR(J10/H10,"")</f>
        <v/>
      </c>
    </row>
    <row r="12" ht="20" customHeight="1">
      <c r="A12" s="70" t="inlineStr">
        <is>
          <t>📌  INVESTMENT THESIS &amp; RESEARCH NOTES</t>
        </is>
      </c>
    </row>
    <row r="13" ht="16" customHeight="1">
      <c r="A13" s="40" t="inlineStr">
        <is>
          <t>Ticker</t>
        </is>
      </c>
      <c r="B13" s="40" t="inlineStr">
        <is>
          <t>Company</t>
        </is>
      </c>
      <c r="C13" s="41" t="inlineStr">
        <is>
          <t>Notes / Thesis</t>
        </is>
      </c>
      <c r="D13" s="42" t="n"/>
      <c r="E13" s="42" t="n"/>
      <c r="F13" s="42" t="n"/>
      <c r="G13" s="42" t="n"/>
      <c r="H13" s="42" t="n"/>
      <c r="I13" s="42" t="n"/>
      <c r="J13" s="42" t="n"/>
      <c r="K13" s="42" t="n"/>
      <c r="L13" s="42" t="n"/>
      <c r="M13" s="42" t="n"/>
      <c r="N13" s="42" t="n"/>
      <c r="O13" s="42" t="n"/>
      <c r="P13" s="42" t="n"/>
      <c r="Q13" s="43" t="n"/>
    </row>
    <row r="14" ht="40" customHeight="1">
      <c r="A14" s="33" t="inlineStr">
        <is>
          <t>CAT</t>
        </is>
      </c>
      <c r="B14" s="44" t="inlineStr">
        <is>
          <t>Caterpillar Inc</t>
        </is>
      </c>
      <c r="C14" s="44" t="inlineStr">
        <is>
          <t>Actual builder and materials company in the AI data center trade.</t>
        </is>
      </c>
    </row>
    <row r="15" ht="40" customHeight="1">
      <c r="A15" s="27" t="inlineStr">
        <is>
          <t>FIX</t>
        </is>
      </c>
      <c r="B15" s="45" t="inlineStr">
        <is>
          <t>Comfort Systems USA</t>
        </is>
      </c>
      <c r="C15" s="45" t="inlineStr">
        <is>
          <t>Builder AND cooling company. AI data center HVAC &amp; MEP systems. Major growing bottleneck.</t>
        </is>
      </c>
    </row>
    <row r="16" ht="40" customHeight="1">
      <c r="A16" s="33" t="inlineStr">
        <is>
          <t>POWL</t>
        </is>
      </c>
      <c r="B16" s="44" t="inlineStr">
        <is>
          <t>Powell Industries</t>
        </is>
      </c>
      <c r="C16" s="44" t="inlineStr">
        <is>
          <t>Electrical infrastructure builder for AI data centers.</t>
        </is>
      </c>
    </row>
    <row r="17" ht="40" customHeight="1">
      <c r="A17" s="27" t="inlineStr">
        <is>
          <t>VRT</t>
        </is>
      </c>
      <c r="B17" s="45" t="inlineStr">
        <is>
          <t>Vertiv Holdings</t>
        </is>
      </c>
      <c r="C17" s="45" t="inlineStr">
        <is>
          <t>Premier AI data center cooling play. Cooling is a growing bottleneck.</t>
        </is>
      </c>
    </row>
  </sheetData>
  <mergeCells count="10">
    <mergeCell ref="C15:Q15"/>
    <mergeCell ref="C17:Q17"/>
    <mergeCell ref="A3:Q3"/>
    <mergeCell ref="C16:Q16"/>
    <mergeCell ref="A12:Q12"/>
    <mergeCell ref="C14:Q14"/>
    <mergeCell ref="C13:Q1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1"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10:24 PM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8"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3" t="inlineStr">
        <is>
          <t>PORTFOLIO TOTALS</t>
        </is>
      </c>
      <c r="H10" s="74">
        <f>SUM(H5:H8)</f>
        <v/>
      </c>
      <c r="I10" s="74">
        <f>SUM(I5:I8)</f>
        <v/>
      </c>
      <c r="J10" s="74">
        <f>SUM(J5:J8)</f>
        <v/>
      </c>
      <c r="K10" s="75">
        <f>IFERROR(J10/H10,"")</f>
        <v/>
      </c>
    </row>
    <row r="12" ht="20" customHeight="1">
      <c r="A12" s="76" t="inlineStr">
        <is>
          <t>📌  INVESTMENT THESIS &amp; RESEARCH NOTES</t>
        </is>
      </c>
    </row>
    <row r="13" ht="16" customHeight="1">
      <c r="A13" s="40" t="inlineStr">
        <is>
          <t>Ticker</t>
        </is>
      </c>
      <c r="B13" s="40" t="inlineStr">
        <is>
          <t>Company</t>
        </is>
      </c>
      <c r="C13" s="41" t="inlineStr">
        <is>
          <t>Notes / Thesis</t>
        </is>
      </c>
      <c r="D13" s="42" t="n"/>
      <c r="E13" s="42" t="n"/>
      <c r="F13" s="42" t="n"/>
      <c r="G13" s="42" t="n"/>
      <c r="H13" s="42" t="n"/>
      <c r="I13" s="42" t="n"/>
      <c r="J13" s="42" t="n"/>
      <c r="K13" s="42" t="n"/>
      <c r="L13" s="42" t="n"/>
      <c r="M13" s="42" t="n"/>
      <c r="N13" s="42" t="n"/>
      <c r="O13" s="42" t="n"/>
      <c r="P13" s="42" t="n"/>
      <c r="Q13" s="43" t="n"/>
    </row>
    <row r="14" ht="40" customHeight="1">
      <c r="A14" s="33" t="inlineStr">
        <is>
          <t>GEV</t>
        </is>
      </c>
      <c r="B14" s="44" t="inlineStr">
        <is>
          <t>GE Vernova</t>
        </is>
      </c>
      <c r="C14" s="44" t="inlineStr">
        <is>
          <t>Stability and steady compounder. Power and grid maintenance for AI buildout.</t>
        </is>
      </c>
    </row>
    <row r="15" ht="40" customHeight="1">
      <c r="A15" s="27" t="inlineStr">
        <is>
          <t>PWR</t>
        </is>
      </c>
      <c r="B15" s="45" t="inlineStr">
        <is>
          <t>Quanta Services</t>
        </is>
      </c>
      <c r="C15" s="45" t="inlineStr">
        <is>
          <t>Power generation and grid maintenance. Growing bottleneck for AI buildout.</t>
        </is>
      </c>
    </row>
    <row r="16" ht="40" customHeight="1">
      <c r="A16" s="33" t="inlineStr">
        <is>
          <t>BE</t>
        </is>
      </c>
      <c r="B16" s="44" t="inlineStr">
        <is>
          <t>Bloom Energy</t>
        </is>
      </c>
      <c r="C16" s="44" t="inlineStr">
        <is>
          <t>Moonshot potential if hydrogen &amp; fuel cell technology takes off.</t>
        </is>
      </c>
    </row>
    <row r="17" ht="40" customHeight="1">
      <c r="A17" s="27" t="inlineStr">
        <is>
          <t>OKLO</t>
        </is>
      </c>
      <c r="B17" s="45" t="inlineStr">
        <is>
          <t>Oklo Inc</t>
        </is>
      </c>
      <c r="C17" s="45" t="inlineStr">
        <is>
          <t>Massive moonshot potential. Big regulatory &amp; execution risk. Worth a small % of portfolio given massive potential.</t>
        </is>
      </c>
    </row>
  </sheetData>
  <mergeCells count="10">
    <mergeCell ref="C15:Q15"/>
    <mergeCell ref="C17:Q17"/>
    <mergeCell ref="A3:Q3"/>
    <mergeCell ref="C16:Q16"/>
    <mergeCell ref="A12:Q12"/>
    <mergeCell ref="C14:Q14"/>
    <mergeCell ref="C13:Q1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7"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10:24 PM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8"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79" t="inlineStr">
        <is>
          <t>PORTFOLIO TOTALS</t>
        </is>
      </c>
      <c r="H8" s="80">
        <f>SUM(H5:H6)</f>
        <v/>
      </c>
      <c r="I8" s="80">
        <f>SUM(I5:I6)</f>
        <v/>
      </c>
      <c r="J8" s="80">
        <f>SUM(J5:J6)</f>
        <v/>
      </c>
      <c r="K8" s="81">
        <f>IFERROR(J8/H8,"")</f>
        <v/>
      </c>
    </row>
    <row r="10" ht="20" customHeight="1">
      <c r="A10" s="82" t="inlineStr">
        <is>
          <t>📌  INVESTMENT THESIS &amp; RESEARCH NOTES</t>
        </is>
      </c>
    </row>
    <row r="11" ht="16" customHeight="1">
      <c r="A11" s="40" t="inlineStr">
        <is>
          <t>Ticker</t>
        </is>
      </c>
      <c r="B11" s="40" t="inlineStr">
        <is>
          <t>Company</t>
        </is>
      </c>
      <c r="C11" s="41" t="inlineStr">
        <is>
          <t>Notes / Thesis</t>
        </is>
      </c>
      <c r="D11" s="42" t="n"/>
      <c r="E11" s="42" t="n"/>
      <c r="F11" s="42" t="n"/>
      <c r="G11" s="42" t="n"/>
      <c r="H11" s="42" t="n"/>
      <c r="I11" s="42" t="n"/>
      <c r="J11" s="42" t="n"/>
      <c r="K11" s="42" t="n"/>
      <c r="L11" s="42" t="n"/>
      <c r="M11" s="42" t="n"/>
      <c r="N11" s="42" t="n"/>
      <c r="O11" s="42" t="n"/>
      <c r="P11" s="42" t="n"/>
      <c r="Q11" s="43" t="n"/>
    </row>
    <row r="12" ht="40" customHeight="1">
      <c r="A12" s="33" t="inlineStr">
        <is>
          <t>NBIS</t>
        </is>
      </c>
      <c r="B12" s="44" t="inlineStr">
        <is>
          <t>Nebius Group</t>
        </is>
      </c>
      <c r="C12" s="44" t="inlineStr">
        <is>
          <t>Leading Neocloud with multiple revenue streams (Clickhouse, AV Ride). Modern Amazon/Google style company. Could become a future Hyperscaler.</t>
        </is>
      </c>
    </row>
    <row r="13" ht="40" customHeight="1">
      <c r="A13" s="27" t="inlineStr">
        <is>
          <t>PLTR</t>
        </is>
      </c>
      <c r="B13" s="45" t="inlineStr">
        <is>
          <t>Palantir Technologies</t>
        </is>
      </c>
      <c r="C13" s="45" t="inlineStr">
        <is>
          <t>Integral to the entire government AI stack. Not going anywhere. AI Software outlier outside the data center trade.</t>
        </is>
      </c>
    </row>
  </sheetData>
  <mergeCells count="8">
    <mergeCell ref="A3:Q3"/>
    <mergeCell ref="A8:G8"/>
    <mergeCell ref="C11:Q11"/>
    <mergeCell ref="C13:Q13"/>
    <mergeCell ref="A2:Q2"/>
    <mergeCell ref="A10:Q10"/>
    <mergeCell ref="A1:Q1"/>
    <mergeCell ref="C12:Q12"/>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10:24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85" t="inlineStr">
        <is>
          <t>PORTFOLIO TOTALS</t>
        </is>
      </c>
      <c r="H7" s="86">
        <f>SUM(H5:H5)</f>
        <v/>
      </c>
      <c r="I7" s="86">
        <f>SUM(I5:I5)</f>
        <v/>
      </c>
      <c r="J7" s="86">
        <f>SUM(J5:J5)</f>
        <v/>
      </c>
      <c r="K7" s="87">
        <f>IFERROR(J7/H7,"")</f>
        <v/>
      </c>
    </row>
    <row r="9" ht="20" customHeight="1">
      <c r="A9" s="88"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0" customHeight="1">
      <c r="A11" s="33" t="inlineStr">
        <is>
          <t>ONDS</t>
        </is>
      </c>
      <c r="B11" s="44" t="inlineStr">
        <is>
          <t>Ondas Holdings</t>
        </is>
      </c>
      <c r="C11" s="44" t="inlineStr">
        <is>
          <t>$1.5T defense budget, $56B to drones/counter-drones via DAWG Program. Best chance to scale after March 2026 acquisitions &amp; partnerships. Very speculative.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10:24 PM</t>
        </is>
      </c>
    </row>
    <row r="4">
      <c r="A4" s="90" t="inlineStr">
        <is>
          <t>Ticker</t>
        </is>
      </c>
      <c r="B4" s="90" t="inlineStr">
        <is>
          <t>Company</t>
        </is>
      </c>
      <c r="C4" s="90" t="inlineStr">
        <is>
          <t>Focus / Niche</t>
        </is>
      </c>
      <c r="D4" s="90" t="inlineStr">
        <is>
          <t>Risk</t>
        </is>
      </c>
      <c r="E4" s="90" t="inlineStr">
        <is>
          <t>Current
Price</t>
        </is>
      </c>
      <c r="F4" s="90" t="inlineStr">
        <is>
          <t>Today's
+/- %</t>
        </is>
      </c>
      <c r="G4" s="90" t="inlineStr">
        <is>
          <t>Purchase
Price</t>
        </is>
      </c>
      <c r="H4" s="90" t="inlineStr">
        <is>
          <t>Shares
Owned</t>
        </is>
      </c>
      <c r="I4" s="90" t="inlineStr">
        <is>
          <t>Total
Cost</t>
        </is>
      </c>
      <c r="J4" s="90" t="inlineStr">
        <is>
          <t>Current
Value</t>
        </is>
      </c>
      <c r="K4" s="90" t="inlineStr">
        <is>
          <t>P&amp;L ($)</t>
        </is>
      </c>
      <c r="L4" s="90" t="inlineStr">
        <is>
          <t>P&amp;L (%)</t>
        </is>
      </c>
      <c r="M4" s="90" t="inlineStr">
        <is>
          <t>52W
High</t>
        </is>
      </c>
      <c r="N4" s="90" t="inlineStr">
        <is>
          <t>52W
Low</t>
        </is>
      </c>
      <c r="O4" s="90" t="inlineStr">
        <is>
          <t>% from
52W High</t>
        </is>
      </c>
      <c r="P4" s="90" t="inlineStr">
        <is>
          <t>Analyst
Target</t>
        </is>
      </c>
      <c r="Q4" s="90"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1" t="inlineStr">
        <is>
          <t>PORTFOLIO TOTALS</t>
        </is>
      </c>
      <c r="H7" s="92">
        <f>SUM(H5:H5)</f>
        <v/>
      </c>
      <c r="I7" s="92">
        <f>SUM(I5:I5)</f>
        <v/>
      </c>
      <c r="J7" s="92">
        <f>SUM(J5:J5)</f>
        <v/>
      </c>
      <c r="K7" s="93">
        <f>IFERROR(J7/H7,"")</f>
        <v/>
      </c>
    </row>
    <row r="9" ht="20" customHeight="1">
      <c r="A9" s="94" t="inlineStr">
        <is>
          <t>📌  INVESTMENT THESIS &amp; RESEARCH NOTES</t>
        </is>
      </c>
    </row>
    <row r="10" ht="16" customHeight="1">
      <c r="A10" s="40" t="inlineStr">
        <is>
          <t>Ticker</t>
        </is>
      </c>
      <c r="B10" s="40" t="inlineStr">
        <is>
          <t>Company</t>
        </is>
      </c>
      <c r="C10" s="41" t="inlineStr">
        <is>
          <t>Notes / Thesis</t>
        </is>
      </c>
      <c r="D10" s="42" t="n"/>
      <c r="E10" s="42" t="n"/>
      <c r="F10" s="42" t="n"/>
      <c r="G10" s="42" t="n"/>
      <c r="H10" s="42" t="n"/>
      <c r="I10" s="42" t="n"/>
      <c r="J10" s="42" t="n"/>
      <c r="K10" s="42" t="n"/>
      <c r="L10" s="42" t="n"/>
      <c r="M10" s="42" t="n"/>
      <c r="N10" s="42" t="n"/>
      <c r="O10" s="42" t="n"/>
      <c r="P10" s="42" t="n"/>
      <c r="Q10" s="43" t="n"/>
    </row>
    <row r="11" ht="40" customHeight="1">
      <c r="A11" s="33" t="inlineStr">
        <is>
          <t>RKLB</t>
        </is>
      </c>
      <c r="B11" s="44" t="inlineStr">
        <is>
          <t>Rocket Lab USA</t>
        </is>
      </c>
      <c r="C11" s="44" t="inlineStr">
        <is>
          <t>Huge future TAM over next decade+. Speculative but massive upside. Brilliant CEO. Near-term catalyst: SpaceX IPO in June.</t>
        </is>
      </c>
    </row>
  </sheetData>
  <mergeCells count="7">
    <mergeCell ref="A9:Q9"/>
    <mergeCell ref="A3:Q3"/>
    <mergeCell ref="C10:Q10"/>
    <mergeCell ref="C11:Q11"/>
    <mergeCell ref="A2:Q2"/>
    <mergeCell ref="A7:G7"/>
    <mergeCell ref="A1:Q1"/>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5"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10:24 PM</t>
        </is>
      </c>
    </row>
    <row r="4">
      <c r="A4" s="96" t="inlineStr">
        <is>
          <t>Ticker</t>
        </is>
      </c>
      <c r="B4" s="96" t="inlineStr">
        <is>
          <t>Company</t>
        </is>
      </c>
      <c r="C4" s="96" t="inlineStr">
        <is>
          <t>Focus / Niche</t>
        </is>
      </c>
      <c r="D4" s="96" t="inlineStr">
        <is>
          <t>Risk</t>
        </is>
      </c>
      <c r="E4" s="96" t="inlineStr">
        <is>
          <t>Current
Price</t>
        </is>
      </c>
      <c r="F4" s="96" t="inlineStr">
        <is>
          <t>Today's
+/- %</t>
        </is>
      </c>
      <c r="G4" s="96" t="inlineStr">
        <is>
          <t>Purchase
Price</t>
        </is>
      </c>
      <c r="H4" s="96" t="inlineStr">
        <is>
          <t>Shares
Owned</t>
        </is>
      </c>
      <c r="I4" s="96" t="inlineStr">
        <is>
          <t>Total
Cost</t>
        </is>
      </c>
      <c r="J4" s="96" t="inlineStr">
        <is>
          <t>Current
Value</t>
        </is>
      </c>
      <c r="K4" s="96" t="inlineStr">
        <is>
          <t>P&amp;L ($)</t>
        </is>
      </c>
      <c r="L4" s="96" t="inlineStr">
        <is>
          <t>P&amp;L (%)</t>
        </is>
      </c>
      <c r="M4" s="96" t="inlineStr">
        <is>
          <t>52W
High</t>
        </is>
      </c>
      <c r="N4" s="96" t="inlineStr">
        <is>
          <t>52W
Low</t>
        </is>
      </c>
      <c r="O4" s="96" t="inlineStr">
        <is>
          <t>% from
52W High</t>
        </is>
      </c>
      <c r="P4" s="96" t="inlineStr">
        <is>
          <t>Analyst
Target</t>
        </is>
      </c>
      <c r="Q4" s="96"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97" t="inlineStr">
        <is>
          <t>PORTFOLIO TOTALS</t>
        </is>
      </c>
      <c r="H8" s="98">
        <f>SUM(H5:H6)</f>
        <v/>
      </c>
      <c r="I8" s="98">
        <f>SUM(I5:I6)</f>
        <v/>
      </c>
      <c r="J8" s="98">
        <f>SUM(J5:J6)</f>
        <v/>
      </c>
      <c r="K8" s="99">
        <f>IFERROR(J8/H8,"")</f>
        <v/>
      </c>
    </row>
    <row r="10" ht="20" customHeight="1">
      <c r="A10" s="100" t="inlineStr">
        <is>
          <t>📌  INVESTMENT THESIS &amp; RESEARCH NOTES</t>
        </is>
      </c>
    </row>
    <row r="11" ht="16" customHeight="1">
      <c r="A11" s="40" t="inlineStr">
        <is>
          <t>Ticker</t>
        </is>
      </c>
      <c r="B11" s="40" t="inlineStr">
        <is>
          <t>Company</t>
        </is>
      </c>
      <c r="C11" s="41" t="inlineStr">
        <is>
          <t>Notes / Thesis</t>
        </is>
      </c>
      <c r="D11" s="42" t="n"/>
      <c r="E11" s="42" t="n"/>
      <c r="F11" s="42" t="n"/>
      <c r="G11" s="42" t="n"/>
      <c r="H11" s="42" t="n"/>
      <c r="I11" s="42" t="n"/>
      <c r="J11" s="42" t="n"/>
      <c r="K11" s="42" t="n"/>
      <c r="L11" s="42" t="n"/>
      <c r="M11" s="42" t="n"/>
      <c r="N11" s="42" t="n"/>
      <c r="O11" s="42" t="n"/>
      <c r="P11" s="42" t="n"/>
      <c r="Q11" s="43" t="n"/>
    </row>
    <row r="12" ht="40" customHeight="1">
      <c r="A12" s="33" t="inlineStr">
        <is>
          <t>RBRK</t>
        </is>
      </c>
      <c r="B12" s="44" t="inlineStr">
        <is>
          <t>Rubrik Inc</t>
        </is>
      </c>
      <c r="C12" s="44" t="inlineStr">
        <is>
          <t>Long term investment research candidate.</t>
        </is>
      </c>
    </row>
    <row r="13" ht="40" customHeight="1">
      <c r="A13" s="27" t="inlineStr">
        <is>
          <t>NVO</t>
        </is>
      </c>
      <c r="B13" s="45" t="inlineStr">
        <is>
          <t>Novo Nordisk</t>
        </is>
      </c>
      <c r="C13" s="45" t="inlineStr">
        <is>
          <t>Long term investment research candidate.</t>
        </is>
      </c>
    </row>
  </sheetData>
  <mergeCells count="8">
    <mergeCell ref="A3:Q3"/>
    <mergeCell ref="A8:G8"/>
    <mergeCell ref="C11:Q11"/>
    <mergeCell ref="C13:Q13"/>
    <mergeCell ref="A2:Q2"/>
    <mergeCell ref="A10:Q10"/>
    <mergeCell ref="A1:Q1"/>
    <mergeCell ref="C12:Q12"/>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1" t="inlineStr">
        <is>
          <t>📝 RESEARCH NOTES &amp; INVESTMENT THESIS</t>
        </is>
      </c>
    </row>
    <row r="2" ht="35" customHeight="1">
      <c r="A2" s="102" t="inlineStr">
        <is>
          <t>401k To-Do</t>
        </is>
      </c>
      <c r="B2" s="23" t="inlineStr">
        <is>
          <t>• Transfer 401k from Accrue (Now Vestwell) → Charles Schwab
• Transfer 401k from Vanguard (1-800-523-1188) → Charles Schwab</t>
        </is>
      </c>
    </row>
    <row r="3" ht="20" customHeight="1">
      <c r="A3" s="103" t="inlineStr">
        <is>
          <t>Savings Account</t>
        </is>
      </c>
      <c r="B3" s="23" t="inlineStr">
        <is>
          <t>• Open Savings Account with Capital One (for holding taxes)</t>
        </is>
      </c>
    </row>
    <row r="4" ht="20" customHeight="1">
      <c r="A4" s="102" t="inlineStr">
        <is>
          <t>Research Tools</t>
        </is>
      </c>
      <c r="B4" s="23" t="inlineStr">
        <is>
          <t>• Learn how to use 'Unusual Whales' website — watch YouTube tutorials</t>
        </is>
      </c>
    </row>
    <row r="5" ht="20" customHeight="1">
      <c r="A5" s="103" t="inlineStr">
        <is>
          <t>Quantum Thesis</t>
        </is>
      </c>
      <c r="B5" s="23" t="inlineStr">
        <is>
          <t>Next run will be of quantum. Buy IONQ, RGTI, and QBTS. Easy 10× within 2 years.</t>
        </is>
      </c>
    </row>
    <row r="6" ht="20" customHeight="1">
      <c r="A6" s="10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0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0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0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0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02" t="inlineStr">
        <is>
          <t>AEVA</t>
        </is>
      </c>
      <c r="B12" s="23" t="inlineStr">
        <is>
          <t>Aeva Technologies — Lidar + sensing tech. Autonomous systems + robotics long tail. Still early commercialization phase. Pure asymmetric bet: low probability, high upside.</t>
        </is>
      </c>
    </row>
    <row r="13" ht="20" customHeight="1">
      <c r="A13" s="10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02" t="inlineStr">
        <is>
          <t>LITE</t>
        </is>
      </c>
      <c r="B14" s="23" t="inlineStr">
        <is>
          <t>Lumentum — King of Photonics. Could moonshot. Critical infrastructure for AI data movement.</t>
        </is>
      </c>
    </row>
    <row r="15" ht="20" customHeight="1">
      <c r="A15" s="103" t="inlineStr">
        <is>
          <t>OKLO</t>
        </is>
      </c>
      <c r="B15" s="23" t="inlineStr">
        <is>
          <t>Nuclear SMRs and Nuclear Fuel Waste. Huge moonshot potential but big regulatory and execution risk. Worth a small percentage of portfolio because of its massive potential.</t>
        </is>
      </c>
    </row>
    <row r="16" ht="20" customHeight="1">
      <c r="A16" s="10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3" t="inlineStr">
        <is>
          <t>PLTR</t>
        </is>
      </c>
      <c r="B17" s="23" t="inlineStr">
        <is>
          <t>Palantir — AI Software. So integral to the entire government AI stack and is not going anywhere soon. Outlier outside of the data center trade.</t>
        </is>
      </c>
    </row>
    <row r="18" ht="20" customHeight="1">
      <c r="A18" s="10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2026-05-06T22:24:53Z</dcterms:created>
  <dcterms:modified xsi:type="dcterms:W3CDTF">2026-05-06T22:24:54Z</dcterms:modified>
</cp:coreProperties>
</file>